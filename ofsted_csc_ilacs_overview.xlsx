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<sst xmlns="http://schemas.openxmlformats.org/spreadsheetml/2006/main" count="2923" uniqueCount="1434">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</sst>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1414</v>
      </c>
      <c r="B1" s="1" t="s">
        <v>1415</v>
      </c>
      <c r="C1" s="1" t="s">
        <v>1416</v>
      </c>
      <c r="D1" s="1" t="s">
        <v>1417</v>
      </c>
      <c r="E1" s="1" t="s">
        <v>1418</v>
      </c>
      <c r="F1" s="1" t="s">
        <v>1419</v>
      </c>
      <c r="G1" s="1" t="s">
        <v>1420</v>
      </c>
      <c r="H1" s="1" t="s">
        <v>1421</v>
      </c>
      <c r="I1" s="1" t="s">
        <v>1422</v>
      </c>
      <c r="J1" s="1" t="s">
        <v>1423</v>
      </c>
      <c r="K1" s="1" t="s">
        <v>1424</v>
      </c>
      <c r="L1" s="1" t="s">
        <v>1425</v>
      </c>
      <c r="M1" s="1" t="s">
        <v>1426</v>
      </c>
      <c r="N1" s="1" t="s">
        <v>1427</v>
      </c>
      <c r="O1" s="1" t="s">
        <v>1428</v>
      </c>
      <c r="P1" s="1" t="s">
        <v>1429</v>
      </c>
      <c r="Q1" s="1" t="s">
        <v>1430</v>
      </c>
      <c r="R1" s="1" t="s">
        <v>1431</v>
      </c>
      <c r="S1" s="1" t="s">
        <v>1432</v>
      </c>
      <c r="T1" s="1" t="s">
        <v>1433</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74</v>
      </c>
      <c r="J107" t="s">
        <v>9</v>
      </c>
      <c r="K107" t="s">
        <v>1025</v>
      </c>
      <c r="L107" t="s">
        <v>1026</v>
      </c>
      <c r="M107" t="s">
        <v>1027</v>
      </c>
      <c r="N107" t="s">
        <v>1028</v>
      </c>
      <c r="O107" s="3">
        <f>HYPERLINK(".\.\export_data\inspection_reports\80539_portsmouth", ".\export_data\inspection_reports\80539_portsmouth")</f>
        <v>0</v>
      </c>
      <c r="P107" t="s">
        <v>79</v>
      </c>
      <c r="Q107" t="s">
        <v>79</v>
      </c>
      <c r="R107" t="s">
        <v>79</v>
      </c>
      <c r="S107" t="s">
        <v>79</v>
      </c>
      <c r="T107" t="s">
        <v>434</v>
      </c>
    </row>
    <row r="108" spans="1:20">
      <c r="A108" t="s">
        <v>1029</v>
      </c>
      <c r="B108" t="s">
        <v>1030</v>
      </c>
      <c r="C108" t="s">
        <v>100</v>
      </c>
      <c r="D108" t="s">
        <v>1031</v>
      </c>
      <c r="E108" t="s">
        <v>1032</v>
      </c>
      <c r="F108" t="s">
        <v>1033</v>
      </c>
      <c r="G108" t="s">
        <v>1034</v>
      </c>
      <c r="H108" s="2" t="s">
        <v>1035</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1036</v>
      </c>
      <c r="B109" t="s">
        <v>1037</v>
      </c>
      <c r="C109" t="s">
        <v>293</v>
      </c>
      <c r="D109" t="s">
        <v>1038</v>
      </c>
      <c r="E109" t="s">
        <v>1039</v>
      </c>
      <c r="F109" t="s">
        <v>1040</v>
      </c>
      <c r="G109" t="s">
        <v>1041</v>
      </c>
      <c r="H109" s="2" t="s">
        <v>1042</v>
      </c>
      <c r="I109" t="s">
        <v>8</v>
      </c>
      <c r="J109" t="s">
        <v>48</v>
      </c>
      <c r="K109" t="s">
        <v>245</v>
      </c>
      <c r="L109" t="s">
        <v>1043</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1044</v>
      </c>
      <c r="B110" t="s">
        <v>1045</v>
      </c>
      <c r="C110" t="s">
        <v>56</v>
      </c>
      <c r="D110" t="s">
        <v>1046</v>
      </c>
      <c r="E110" t="s">
        <v>1047</v>
      </c>
      <c r="F110" t="s">
        <v>1048</v>
      </c>
      <c r="G110" t="s">
        <v>1049</v>
      </c>
      <c r="H110" s="2" t="s">
        <v>1050</v>
      </c>
      <c r="I110" t="s">
        <v>14</v>
      </c>
      <c r="J110" t="s">
        <v>48</v>
      </c>
      <c r="K110" t="s">
        <v>87</v>
      </c>
      <c r="L110" t="s">
        <v>471</v>
      </c>
      <c r="M110" t="s">
        <v>1051</v>
      </c>
      <c r="N110" t="s">
        <v>1052</v>
      </c>
      <c r="O110" s="3">
        <f>HYPERLINK(".\.\export_data\inspection_reports\80542_rochdale", ".\export_data\inspection_reports\80542_rochdale")</f>
        <v>0</v>
      </c>
      <c r="P110" t="s">
        <v>14</v>
      </c>
      <c r="Q110" t="s">
        <v>14</v>
      </c>
      <c r="R110" t="s">
        <v>14</v>
      </c>
      <c r="S110" t="s">
        <v>14</v>
      </c>
      <c r="T110" t="s">
        <v>28</v>
      </c>
    </row>
    <row r="111" spans="1:20">
      <c r="A111" t="s">
        <v>1053</v>
      </c>
      <c r="B111" t="s">
        <v>1054</v>
      </c>
      <c r="C111" t="s">
        <v>2</v>
      </c>
      <c r="D111" t="s">
        <v>1055</v>
      </c>
      <c r="E111" t="s">
        <v>1056</v>
      </c>
      <c r="F111" t="s">
        <v>1057</v>
      </c>
      <c r="G111" t="s">
        <v>1058</v>
      </c>
      <c r="H111" s="2" t="s">
        <v>1059</v>
      </c>
      <c r="I111" t="s">
        <v>79</v>
      </c>
      <c r="J111" t="s">
        <v>9</v>
      </c>
      <c r="K111" t="s">
        <v>211</v>
      </c>
      <c r="L111" t="s">
        <v>489</v>
      </c>
      <c r="M111" t="s">
        <v>490</v>
      </c>
      <c r="N111" t="s">
        <v>1060</v>
      </c>
      <c r="O111" s="3">
        <f>HYPERLINK(".\.\export_data\inspection_reports\80543_rotherham", ".\export_data\inspection_reports\80543_rotherham")</f>
        <v>0</v>
      </c>
      <c r="P111" t="s">
        <v>79</v>
      </c>
      <c r="Q111" t="s">
        <v>79</v>
      </c>
      <c r="R111" t="s">
        <v>79</v>
      </c>
      <c r="S111" t="s">
        <v>8</v>
      </c>
      <c r="T111" t="s">
        <v>66</v>
      </c>
    </row>
    <row r="112" spans="1:20">
      <c r="A112" t="s">
        <v>1061</v>
      </c>
      <c r="B112" t="s">
        <v>1062</v>
      </c>
      <c r="C112" t="s">
        <v>217</v>
      </c>
      <c r="D112" t="s">
        <v>1063</v>
      </c>
      <c r="E112" t="s">
        <v>1064</v>
      </c>
      <c r="F112" t="s">
        <v>1065</v>
      </c>
      <c r="G112" t="s">
        <v>1066</v>
      </c>
      <c r="H112" s="2" t="s">
        <v>1067</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1068</v>
      </c>
      <c r="B113" t="s">
        <v>1069</v>
      </c>
      <c r="C113" t="s">
        <v>217</v>
      </c>
      <c r="D113" t="s">
        <v>1070</v>
      </c>
      <c r="E113" t="s">
        <v>1071</v>
      </c>
      <c r="F113" t="s">
        <v>1072</v>
      </c>
      <c r="G113" t="s">
        <v>1073</v>
      </c>
      <c r="H113" s="2" t="s">
        <v>1074</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1075</v>
      </c>
      <c r="B114" t="s">
        <v>1076</v>
      </c>
      <c r="C114" t="s">
        <v>100</v>
      </c>
      <c r="D114" t="s">
        <v>1077</v>
      </c>
      <c r="E114" t="s">
        <v>1078</v>
      </c>
      <c r="F114" t="s">
        <v>1079</v>
      </c>
      <c r="G114" t="s">
        <v>1080</v>
      </c>
      <c r="H114" s="2" t="s">
        <v>1081</v>
      </c>
      <c r="I114" t="s">
        <v>8</v>
      </c>
      <c r="J114" t="s">
        <v>9</v>
      </c>
      <c r="K114" t="s">
        <v>619</v>
      </c>
      <c r="L114" t="s">
        <v>288</v>
      </c>
      <c r="M114" t="s">
        <v>331</v>
      </c>
      <c r="N114" t="s">
        <v>1082</v>
      </c>
      <c r="O114" s="3">
        <f>HYPERLINK(".\.\export_data\inspection_reports\80546_windsor &amp; maidenhead", ".\export_data\inspection_reports\80546_windsor &amp; maidenhead")</f>
        <v>0</v>
      </c>
      <c r="P114" t="s">
        <v>8</v>
      </c>
      <c r="Q114" t="s">
        <v>8</v>
      </c>
      <c r="R114" t="s">
        <v>8</v>
      </c>
      <c r="S114" t="s">
        <v>79</v>
      </c>
      <c r="T114" t="s">
        <v>53</v>
      </c>
    </row>
    <row r="115" spans="1:20">
      <c r="A115" t="s">
        <v>1083</v>
      </c>
      <c r="B115" t="s">
        <v>1084</v>
      </c>
      <c r="C115" t="s">
        <v>304</v>
      </c>
      <c r="D115" t="s">
        <v>1085</v>
      </c>
      <c r="E115" t="s">
        <v>1086</v>
      </c>
      <c r="F115" t="s">
        <v>1087</v>
      </c>
      <c r="G115" t="s">
        <v>1088</v>
      </c>
      <c r="H115" s="2" t="s">
        <v>1089</v>
      </c>
      <c r="I115" t="s">
        <v>8</v>
      </c>
      <c r="J115" t="s">
        <v>48</v>
      </c>
      <c r="K115" t="s">
        <v>507</v>
      </c>
      <c r="L115" t="s">
        <v>1090</v>
      </c>
      <c r="M115" t="s">
        <v>1091</v>
      </c>
      <c r="N115" t="s">
        <v>433</v>
      </c>
      <c r="O115" s="3">
        <f>HYPERLINK(".\.\export_data\inspection_reports\80547_rutland", ".\export_data\inspection_reports\80547_rutland")</f>
        <v>0</v>
      </c>
      <c r="P115" t="s">
        <v>8</v>
      </c>
      <c r="Q115" t="s">
        <v>8</v>
      </c>
      <c r="R115" t="s">
        <v>8</v>
      </c>
      <c r="S115" t="s">
        <v>8</v>
      </c>
      <c r="T115" t="s">
        <v>28</v>
      </c>
    </row>
    <row r="116" spans="1:20">
      <c r="A116" t="s">
        <v>1092</v>
      </c>
      <c r="B116" t="s">
        <v>1093</v>
      </c>
      <c r="C116" t="s">
        <v>56</v>
      </c>
      <c r="D116" t="s">
        <v>1094</v>
      </c>
      <c r="E116" t="s">
        <v>1095</v>
      </c>
      <c r="F116" t="s">
        <v>1096</v>
      </c>
      <c r="G116" t="s">
        <v>1097</v>
      </c>
      <c r="H116" s="2" t="s">
        <v>1098</v>
      </c>
      <c r="I116" t="s">
        <v>8</v>
      </c>
      <c r="J116" t="s">
        <v>9</v>
      </c>
      <c r="K116" t="s">
        <v>1099</v>
      </c>
      <c r="L116" t="s">
        <v>1100</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1101</v>
      </c>
      <c r="B117" t="s">
        <v>1102</v>
      </c>
      <c r="C117" t="s">
        <v>42</v>
      </c>
      <c r="D117" t="s">
        <v>1103</v>
      </c>
      <c r="E117" t="s">
        <v>1104</v>
      </c>
      <c r="F117" t="s">
        <v>1105</v>
      </c>
      <c r="G117" t="s">
        <v>1106</v>
      </c>
      <c r="H117" s="2" t="s">
        <v>1107</v>
      </c>
      <c r="I117" t="s">
        <v>8</v>
      </c>
      <c r="J117" t="s">
        <v>48</v>
      </c>
      <c r="K117" t="s">
        <v>608</v>
      </c>
      <c r="L117" t="s">
        <v>1108</v>
      </c>
      <c r="M117" t="s">
        <v>1109</v>
      </c>
      <c r="N117" t="s">
        <v>1110</v>
      </c>
      <c r="O117" s="3">
        <f>HYPERLINK(".\.\export_data\inspection_reports\80549_sandwell", ".\export_data\inspection_reports\80549_sandwell")</f>
        <v>0</v>
      </c>
      <c r="P117" t="s">
        <v>8</v>
      </c>
      <c r="Q117" t="s">
        <v>8</v>
      </c>
      <c r="R117" t="s">
        <v>8</v>
      </c>
      <c r="S117" t="s">
        <v>14</v>
      </c>
      <c r="T117" t="s">
        <v>15</v>
      </c>
    </row>
    <row r="118" spans="1:20">
      <c r="A118" t="s">
        <v>1111</v>
      </c>
      <c r="B118" t="s">
        <v>1112</v>
      </c>
      <c r="C118" t="s">
        <v>56</v>
      </c>
      <c r="D118" t="s">
        <v>1113</v>
      </c>
      <c r="E118" t="s">
        <v>1114</v>
      </c>
      <c r="F118" t="s">
        <v>1115</v>
      </c>
      <c r="G118" t="s">
        <v>1116</v>
      </c>
      <c r="H118" s="2" t="s">
        <v>1117</v>
      </c>
      <c r="I118" t="s">
        <v>8</v>
      </c>
      <c r="J118" t="s">
        <v>48</v>
      </c>
      <c r="K118" t="s">
        <v>87</v>
      </c>
      <c r="L118" t="s">
        <v>1118</v>
      </c>
      <c r="M118" t="s">
        <v>538</v>
      </c>
      <c r="N118" t="s">
        <v>539</v>
      </c>
      <c r="O118" s="3">
        <f>HYPERLINK(".\.\export_data\inspection_reports\80550_sefton", ".\export_data\inspection_reports\80550_sefton")</f>
        <v>0</v>
      </c>
      <c r="P118" t="s">
        <v>8</v>
      </c>
      <c r="Q118" t="s">
        <v>14</v>
      </c>
      <c r="R118" t="s">
        <v>8</v>
      </c>
      <c r="S118" t="s">
        <v>8</v>
      </c>
      <c r="T118" t="s">
        <v>28</v>
      </c>
    </row>
    <row r="119" spans="1:20">
      <c r="A119" t="s">
        <v>1119</v>
      </c>
      <c r="B119" t="s">
        <v>1120</v>
      </c>
      <c r="C119" t="s">
        <v>2</v>
      </c>
      <c r="D119" t="s">
        <v>1121</v>
      </c>
      <c r="E119" t="s">
        <v>1122</v>
      </c>
      <c r="F119" t="s">
        <v>1123</v>
      </c>
      <c r="G119" t="s">
        <v>1124</v>
      </c>
      <c r="H119" s="2" t="s">
        <v>1125</v>
      </c>
      <c r="I119" t="s">
        <v>8</v>
      </c>
      <c r="J119" t="s">
        <v>48</v>
      </c>
      <c r="K119" t="s">
        <v>507</v>
      </c>
      <c r="L119" t="s">
        <v>11</v>
      </c>
      <c r="M119" t="s">
        <v>1126</v>
      </c>
      <c r="N119" t="s">
        <v>1127</v>
      </c>
      <c r="O119" s="3">
        <f>HYPERLINK(".\.\export_data\inspection_reports\80551_sheffield", ".\export_data\inspection_reports\80551_sheffield")</f>
        <v>0</v>
      </c>
      <c r="P119" t="s">
        <v>8</v>
      </c>
      <c r="Q119" t="s">
        <v>8</v>
      </c>
      <c r="R119" t="s">
        <v>79</v>
      </c>
      <c r="S119" t="s">
        <v>8</v>
      </c>
      <c r="T119" t="s">
        <v>28</v>
      </c>
    </row>
    <row r="120" spans="1:20">
      <c r="A120" t="s">
        <v>1128</v>
      </c>
      <c r="B120" t="s">
        <v>1129</v>
      </c>
      <c r="C120" t="s">
        <v>42</v>
      </c>
      <c r="D120" t="s">
        <v>1130</v>
      </c>
      <c r="E120" t="s">
        <v>1131</v>
      </c>
      <c r="F120" t="s">
        <v>1132</v>
      </c>
      <c r="G120" t="s">
        <v>1133</v>
      </c>
      <c r="H120" s="2" t="s">
        <v>1134</v>
      </c>
      <c r="I120" t="s">
        <v>79</v>
      </c>
      <c r="J120" t="s">
        <v>48</v>
      </c>
      <c r="K120" t="s">
        <v>744</v>
      </c>
      <c r="L120" t="s">
        <v>1118</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1135</v>
      </c>
      <c r="B121" t="s">
        <v>1136</v>
      </c>
      <c r="C121" t="s">
        <v>100</v>
      </c>
      <c r="D121" t="s">
        <v>1137</v>
      </c>
      <c r="E121" t="s">
        <v>1138</v>
      </c>
      <c r="F121" t="s">
        <v>1139</v>
      </c>
      <c r="G121" t="s">
        <v>1140</v>
      </c>
      <c r="H121" s="2" t="s">
        <v>1141</v>
      </c>
      <c r="I121" t="s">
        <v>14</v>
      </c>
      <c r="J121" t="s">
        <v>48</v>
      </c>
      <c r="K121" t="s">
        <v>24</v>
      </c>
      <c r="L121" t="s">
        <v>471</v>
      </c>
      <c r="M121" t="s">
        <v>1051</v>
      </c>
      <c r="N121" t="s">
        <v>1052</v>
      </c>
      <c r="O121" s="3">
        <f>HYPERLINK(".\.\export_data\inspection_reports\80553_slough", ".\export_data\inspection_reports\80553_slough")</f>
        <v>0</v>
      </c>
      <c r="P121" t="s">
        <v>189</v>
      </c>
      <c r="Q121" t="s">
        <v>14</v>
      </c>
      <c r="R121" t="s">
        <v>14</v>
      </c>
      <c r="S121" t="s">
        <v>14</v>
      </c>
      <c r="T121" t="s">
        <v>28</v>
      </c>
    </row>
    <row r="122" spans="1:20">
      <c r="A122" t="s">
        <v>1142</v>
      </c>
      <c r="B122" t="s">
        <v>1143</v>
      </c>
      <c r="C122" t="s">
        <v>42</v>
      </c>
      <c r="D122" t="s">
        <v>1144</v>
      </c>
      <c r="E122" t="s">
        <v>1145</v>
      </c>
      <c r="F122" t="s">
        <v>1146</v>
      </c>
      <c r="G122" t="s">
        <v>1147</v>
      </c>
      <c r="H122" s="2" t="s">
        <v>1148</v>
      </c>
      <c r="I122" t="s">
        <v>8</v>
      </c>
      <c r="J122" t="s">
        <v>48</v>
      </c>
      <c r="K122" t="s">
        <v>1025</v>
      </c>
      <c r="L122" t="s">
        <v>489</v>
      </c>
      <c r="M122" t="s">
        <v>770</v>
      </c>
      <c r="N122" t="s">
        <v>463</v>
      </c>
      <c r="O122" s="3">
        <f>HYPERLINK(".\.\export_data\inspection_reports\80554_solihull", ".\export_data\inspection_reports\80554_solihull")</f>
        <v>0</v>
      </c>
      <c r="P122" t="s">
        <v>8</v>
      </c>
      <c r="Q122" t="s">
        <v>8</v>
      </c>
      <c r="R122" t="s">
        <v>14</v>
      </c>
      <c r="S122" t="s">
        <v>8</v>
      </c>
      <c r="T122" t="s">
        <v>434</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1100</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1099</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1411</v>
      </c>
      <c r="M154" t="s">
        <v>1412</v>
      </c>
      <c r="N154" t="s">
        <v>1413</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2026-08-20T05:25:27Z</dcterms:created>
  <dcterms:modified xsi:type="dcterms:W3CDTF">2026-08-20T05:25:27Z</dcterms:modified>
</cp:coreProperties>
</file>