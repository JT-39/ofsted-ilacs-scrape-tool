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<sst xmlns="http://schemas.openxmlformats.org/spreadsheetml/2006/main" count="2923" uniqueCount="1432">
  <si>
    <t>80426</t>
  </si>
  <si>
    <t>370</t>
  </si>
  <si>
    <t>YH</t>
  </si>
  <si>
    <t>E08000038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</si>
  <si>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</si>
  <si>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</si>
  <si>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</si>
  <si>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</si>
  <si>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</si>
  <si>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</si>
  <si>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</si>
  <si>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</si>
  <si>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</si>
  <si>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</si>
  <si>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</si>
  <si>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</si>
  <si>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</si>
  <si>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</si>
  <si>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</si>
  <si>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</si>
  <si>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</si>
  <si>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</si>
  <si>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</si>
  <si>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</si>
  <si>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</si>
  <si>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</si>
  <si>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</si>
  <si>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</si>
  <si>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</si>
  <si>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</si>
  <si>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</si>
  <si>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</si>
  <si>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</si>
  <si>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</si>
  <si>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'Not reported (2026 framework change)'),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</si>
  <si>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</si>
  <si>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</si>
  <si>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</si>
  <si>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</si>
  <si>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</si>
  <si>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</si>
  <si>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</si>
  <si>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</si>
  <si>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</si>
  <si>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</si>
  <si>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</si>
  <si>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</si>
  <si>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</si>
  <si>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</si>
  <si>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</si>
  <si>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</si>
  <si>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</si>
  <si>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</si>
  <si>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</si>
  <si>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</si>
  <si>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</si>
  <si>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</si>
  <si>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</si>
  <si>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</si>
  <si>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</si>
  <si>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</si>
  <si>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</si>
  <si>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</si>
  <si>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</si>
  <si>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</si>
  <si>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</si>
  <si>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</si>
  <si>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</si>
  <si>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</si>
  <si>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</si>
  <si>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'Not reported (2026 framework change)'),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</si>
  <si>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</si>
  <si>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</si>
  <si>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</si>
  <si>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</si>
  <si>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</si>
  <si>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</si>
  <si>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</si>
  <si>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</si>
  <si>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</si>
  <si>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</si>
  <si>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</si>
  <si>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</si>
  <si>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</si>
  <si>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</si>
  <si>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</si>
  <si>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</si>
  <si>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</si>
  <si>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</si>
  <si>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</si>
  <si>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</si>
  <si>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</si>
  <si>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</si>
  <si>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</si>
  <si>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</si>
  <si>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</si>
  <si>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</si>
  <si>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</si>
  <si>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</si>
  <si>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</si>
  <si>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</si>
  <si>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</si>
  <si>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</si>
  <si>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</si>
  <si>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</si>
  <si>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</si>
  <si>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</si>
  <si>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</si>
  <si>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</si>
  <si>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</si>
  <si>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</si>
  <si>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</si>
  <si>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</si>
  <si>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</si>
  <si>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</si>
  <si>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</si>
  <si>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</si>
  <si>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</si>
  <si>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</si>
  <si>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</si>
  <si>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</si>
  <si>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</si>
  <si>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</si>
  <si>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</si>
  <si>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</si>
  <si>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</si>
  <si>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</si>
  <si>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</si>
  <si>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</si>
  <si>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</si>
  <si>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</si>
  <si>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</si>
  <si>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</si>
  <si>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E06000060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</si>
  <si>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</si>
  <si>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</si>
  <si>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</si>
  <si>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</si>
  <si>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</si>
  <si>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</si>
  <si>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</si>
  <si>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</si>
  <si>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</si>
  <si>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</si>
  <si>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</si>
  <si>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</si>
  <si>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</si>
  <si>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</si>
  <si>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</si>
  <si>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</si>
  <si>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</si>
  <si>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</si>
  <si>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</si>
  <si>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4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</si>
  <si>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</si>
  <si>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</si>
  <si>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</si>
  <si>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</si>
  <si>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</si>
  <si>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</si>
  <si>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</si>
  <si>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</si>
  <si>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</si>
  <si>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</si>
  <si>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</si>
  <si>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</si>
  <si>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</si>
  <si>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</si>
  <si>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</si>
  <si>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</si>
  <si>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</si>
  <si>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</si>
  <si>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</si>
  <si>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</si>
  <si>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</si>
  <si>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</si>
  <si>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</si>
  <si>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</si>
  <si>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</si>
  <si>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</si>
  <si>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</si>
  <si>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</si>
  <si>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</si>
  <si>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</si>
  <si>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</si>
  <si>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</si>
  <si>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</si>
  <si>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</si>
  <si>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</si>
  <si>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</si>
  <si>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</si>
  <si>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</si>
  <si>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</si>
  <si>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</si>
  <si>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</si>
  <si>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</si>
  <si>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</si>
  <si>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</si>
  <si>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</si>
  <si>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</si>
  <si>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</si>
  <si>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</si>
  <si>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</si>
  <si>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</si>
  <si>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</si>
  <si>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</si>
  <si>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</si>
  <si>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</si>
  <si>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</si>
  <si>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</si>
  <si>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</si>
  <si>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</si>
  <si>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</si>
  <si>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</si>
  <si>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</si>
  <si>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</si>
  <si>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</si>
  <si>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</si>
  <si>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</si>
  <si>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</si>
  <si>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</si>
  <si>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</si>
  <si>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</si>
  <si>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</si>
  <si>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</si>
  <si>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</si>
  <si>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</si>
  <si>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</si>
  <si>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</si>
  <si>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</si>
  <si>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</si>
  <si>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</si>
  <si>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</si>
  <si>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</si>
  <si>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</si>
  <si>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</si>
  <si>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</si>
  <si>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</si>
  <si>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</si>
  <si>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</si>
  <si>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</si>
  <si>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</si>
  <si>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</si>
  <si>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</si>
  <si>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</si>
  <si>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</si>
  <si>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</si>
  <si>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</si>
  <si>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</si>
  <si>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</si>
  <si>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</si>
  <si>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</si>
  <si>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</si>
  <si>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</si>
  <si>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</si>
  <si>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</si>
  <si>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</si>
  <si>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</si>
  <si>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</si>
  <si>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</si>
  <si>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</si>
  <si>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</si>
  <si>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</si>
  <si>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</si>
  <si>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</si>
  <si>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</si>
  <si>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</si>
  <si>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</si>
  <si>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</si>
  <si>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</si>
  <si>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</si>
  <si>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</si>
  <si>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</si>
  <si>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</si>
  <si>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</si>
  <si>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</si>
  <si>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</si>
  <si>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</si>
  <si>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</si>
  <si>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</si>
  <si>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</si>
  <si>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</si>
  <si>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</si>
  <si>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</si>
  <si>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E06000063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</si>
  <si>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</si>
  <si>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</si>
  <si>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</si>
  <si>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</si>
  <si>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</si>
  <si>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</si>
  <si>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</si>
  <si>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</si>
  <si>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</si>
  <si>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</si>
  <si>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</si>
  <si>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</si>
  <si>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</si>
  <si>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</si>
  <si>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</si>
  <si>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</si>
  <si>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</si>
  <si>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</si>
  <si>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</si>
  <si>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</si>
  <si>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</si>
  <si>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</si>
  <si>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</si>
  <si>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</si>
  <si>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</si>
  <si>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</si>
  <si>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</si>
  <si>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</si>
  <si>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</si>
  <si>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</si>
  <si>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</si>
  <si>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</si>
  <si>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</si>
  <si>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</si>
  <si>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'Not reported (2026 framework change)'),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</si>
  <si>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</si>
  <si>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</si>
  <si>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</si>
  <si>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</si>
  <si>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</si>
  <si>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</si>
  <si>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</si>
  <si>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</si>
  <si>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</si>
  <si>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'Not reported (2026 framework change)'),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</si>
  <si>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</si>
  <si>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</si>
  <si>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</si>
  <si>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</si>
  <si>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</si>
  <si>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</si>
  <si>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</si>
  <si>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</si>
  <si>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</si>
  <si>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</si>
  <si>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</si>
  <si>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</si>
  <si>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</si>
  <si>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</si>
  <si>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</si>
  <si>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</si>
  <si>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</si>
  <si>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</si>
  <si>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E06000059</t>
  </si>
  <si>
    <t>933, 878, 893, 935, 885, 881, 830, 886, 938, 815</t>
  </si>
  <si>
    <t>[(933, 'Not reported (2026 framework change)'),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</si>
  <si>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</si>
  <si>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</si>
  <si>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</si>
  <si>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</si>
  <si>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</si>
  <si>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</si>
  <si>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</si>
  <si>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</si>
  <si>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</si>
  <si>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</si>
  <si>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</si>
  <si>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</si>
  <si>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</si>
  <si>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</si>
  <si>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</si>
  <si>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</si>
  <si>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</si>
  <si>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</si>
  <si>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</si>
  <si>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</si>
  <si>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</si>
  <si>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</si>
  <si>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</si>
  <si>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</si>
  <si>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</si>
  <si>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</si>
  <si>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</si>
  <si>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'Not reported (2026 framework change)'),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</si>
  <si>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</si>
  <si>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</si>
  <si>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</si>
  <si>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</si>
  <si>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</si>
  <si>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</si>
  <si>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</si>
  <si>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</si>
  <si>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</si>
  <si>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</si>
  <si>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</si>
  <si>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</si>
  <si>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</si>
  <si>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</si>
  <si>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</si>
  <si>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</si>
  <si>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</si>
  <si>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</si>
  <si>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</si>
  <si>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</si>
  <si>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</si>
  <si>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'Not reported (2026 framework change)'),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</si>
  <si>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</si>
  <si>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</si>
  <si>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</si>
  <si>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</si>
  <si>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</si>
  <si>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</si>
  <si>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</si>
  <si>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</si>
  <si>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</si>
  <si>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</si>
  <si>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</si>
  <si>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</si>
  <si>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</si>
  <si>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</si>
  <si>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</si>
  <si>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</si>
  <si>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</si>
  <si>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</si>
  <si>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</si>
  <si>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</si>
  <si>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</si>
  <si>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</si>
  <si>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</si>
  <si>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</si>
  <si>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</si>
  <si>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</si>
  <si>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</si>
  <si>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</si>
  <si>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</si>
  <si>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</si>
  <si>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</si>
  <si>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</si>
  <si>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</si>
  <si>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</si>
  <si>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</si>
  <si>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</si>
  <si>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</si>
  <si>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</si>
  <si>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</si>
  <si>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</si>
  <si>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</si>
  <si>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</si>
  <si>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</si>
  <si>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</si>
  <si>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</si>
  <si>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</si>
  <si>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</si>
  <si>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</si>
  <si>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</si>
  <si>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</si>
  <si>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</si>
  <si>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</si>
  <si>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</si>
  <si>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</si>
  <si>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</si>
  <si>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'Not reported (2026 framework change)'),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</si>
  <si>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</si>
  <si>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</si>
  <si>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</si>
  <si>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</si>
  <si>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</si>
  <si>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</si>
  <si>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</si>
  <si>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</si>
  <si>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</si>
  <si>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</si>
  <si>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</si>
  <si>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</si>
  <si>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</si>
  <si>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</si>
  <si>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</si>
  <si>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</si>
  <si>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</si>
  <si>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</si>
  <si>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</si>
  <si>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</si>
  <si>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</si>
  <si>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</si>
  <si>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</si>
  <si>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</si>
  <si>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</si>
  <si>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</si>
  <si>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'Not reported (2026 framework change)')]</t>
  </si>
  <si>
    <t>kent</t>
  </si>
  <si>
    <t>https://files.ofsted.gov.uk/v1/file/50294428</t>
  </si>
  <si>
    <t>steve lowe</t>
  </si>
  <si>
    <t>03/11/2025</t>
  </si>
  <si>
    <t>07/11/2025</t>
  </si>
  <si>
    <t>02/02/26</t>
  </si>
  <si>
    <t>2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</si>
  <si>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</si>
  <si>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</si>
  <si>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</si>
  <si>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</si>
  <si>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</si>
  <si>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</si>
  <si>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</si>
  <si>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</si>
  <si>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</si>
  <si>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</si>
  <si>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</si>
  <si>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</si>
  <si>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</si>
  <si>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</si>
  <si>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</si>
  <si>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</si>
  <si>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</si>
  <si>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</si>
  <si>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</si>
  <si>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</si>
  <si>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</si>
  <si>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'Not reported (2026 framework change)')]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</si>
  <si>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</si>
  <si>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</si>
  <si>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</si>
  <si>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</si>
  <si>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</si>
  <si>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</si>
  <si>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</si>
  <si>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</si>
  <si>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</si>
  <si>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</si>
  <si>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</si>
  <si>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</si>
  <si>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</si>
  <si>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</si>
  <si>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</si>
  <si>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</si>
  <si>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</si>
  <si>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</si>
  <si>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</si>
  <si>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</si>
  <si>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</si>
  <si>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</si>
  <si>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</si>
  <si>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</si>
  <si>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</si>
  <si>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</si>
  <si>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</si>
  <si>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</si>
  <si>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</si>
  <si>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</si>
  <si>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'Not reported (2026 framework change)'),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</si>
  <si>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</si>
  <si>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</si>
  <si>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</si>
  <si>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</si>
  <si>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</si>
  <si>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</si>
  <si>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'Not reported (2026 framework change)'),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</si>
  <si>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</si>
  <si>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</si>
  <si>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</si>
  <si>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</si>
  <si>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</si>
  <si>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</si>
  <si>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</si>
  <si>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</si>
  <si>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'Not reported (2026 framework change)'), (830, 'good'), (933, 'Not reported (2026 framework change)')]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</si>
  <si>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</si>
  <si>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</si>
  <si>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</si>
  <si>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</si>
  <si>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</si>
  <si>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</si>
  <si>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</si>
  <si>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</si>
  <si>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</si>
  <si>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</si>
  <si>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</si>
  <si>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https://files.ofsted.gov.uk/v1/file/50306784</t>
  </si>
  <si>
    <t>not_reported_post_reform</t>
  </si>
  <si>
    <t>11/05/2026</t>
  </si>
  <si>
    <t>22/05/2026</t>
  </si>
  <si>
    <t>07/07/26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</si>
  <si>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</si>
  <si>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</si>
  <si>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</si>
  <si>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</si>
  <si>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'Not reported (2026 framework change)'),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</si>
  <si>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</si>
  <si>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</si>
  <si>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</si>
  <si>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</si>
  <si>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</si>
  <si>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</si>
  <si>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</si>
  <si>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</si>
  <si>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</si>
  <si>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</si>
  <si>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</si>
  <si>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</si>
  <si>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</si>
  <si>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</si>
  <si>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</si>
  <si>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</si>
  <si>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</si>
  <si>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</si>
  <si>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</si>
  <si>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</si>
  <si>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</si>
  <si>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</si>
  <si>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</si>
  <si>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</si>
  <si>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</si>
  <si>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</si>
  <si>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https://files.ofsted.gov.uk/v1/file/50304386</t>
  </si>
  <si>
    <t>monique lindsay</t>
  </si>
  <si>
    <t>27/04/2026</t>
  </si>
  <si>
    <t>01/05/2026</t>
  </si>
  <si>
    <t>17/06/26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</si>
  <si>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</si>
  <si>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</si>
  <si>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</si>
  <si>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</si>
  <si>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</si>
  <si>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</si>
  <si>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</si>
  <si>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</si>
  <si>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</si>
  <si>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</si>
  <si>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</si>
  <si>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</si>
  <si>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</si>
  <si>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</si>
  <si>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</si>
  <si>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</si>
  <si>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</si>
  <si>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</si>
  <si>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</si>
  <si>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</si>
  <si>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</si>
  <si>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</si>
  <si>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</si>
  <si>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</si>
  <si>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</si>
  <si>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</si>
  <si>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</si>
  <si>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</si>
  <si>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</si>
  <si>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</si>
  <si>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</si>
  <si>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'Not reported (2026 framework change)'),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</si>
  <si>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</si>
  <si>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</si>
  <si>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</si>
  <si>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</si>
  <si>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</si>
  <si>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</si>
  <si>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</si>
  <si>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</si>
  <si>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</si>
  <si>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</si>
  <si>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</si>
  <si>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</si>
  <si>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</si>
  <si>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</si>
  <si>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</si>
  <si>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</si>
  <si>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</si>
  <si>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</si>
  <si>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</si>
  <si>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</si>
  <si>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</si>
  <si>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</si>
  <si>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</si>
  <si>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</si>
  <si>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</si>
  <si>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</si>
  <si>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</si>
  <si>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</si>
  <si>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</si>
  <si>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</si>
  <si>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</si>
  <si>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</si>
  <si>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</si>
  <si>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</si>
  <si>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</si>
  <si>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</si>
  <si>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</si>
  <si>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</si>
  <si>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</si>
  <si>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</si>
  <si>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</si>
  <si>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</si>
  <si>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</si>
  <si>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'Not reported (2026 framework change)'),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</si>
  <si>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</si>
  <si>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</si>
  <si>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</si>
  <si>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</si>
  <si>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</si>
  <si>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</si>
  <si>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</si>
  <si>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</si>
  <si>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</si>
  <si>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</si>
  <si>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</si>
  <si>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</si>
  <si>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</si>
  <si>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</si>
  <si>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</si>
  <si>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</si>
  <si>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</si>
  <si>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'Not reported (2026 framework change)'),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</si>
  <si>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</si>
  <si>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</si>
  <si>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</si>
  <si>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</si>
  <si>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</si>
  <si>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</si>
  <si>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</si>
  <si>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</si>
  <si>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</si>
  <si>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</si>
  <si>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</si>
  <si>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</si>
  <si>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</si>
  <si>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</si>
  <si>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</si>
  <si>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</si>
  <si>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</si>
  <si>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</si>
  <si>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'Not reported (2026 framework change)'),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</si>
  <si>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</si>
  <si>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</si>
  <si>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</si>
  <si>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</si>
  <si>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</si>
  <si>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</si>
  <si>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</si>
  <si>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</si>
  <si>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</si>
  <si>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</si>
  <si>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</si>
  <si>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</si>
  <si>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</si>
  <si>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</si>
  <si>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</si>
  <si>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</si>
  <si>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</si>
  <si>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</si>
  <si>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</si>
  <si>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</si>
  <si>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</si>
  <si>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</si>
  <si>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</si>
  <si>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</si>
  <si>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</si>
  <si>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</si>
  <si>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</si>
  <si>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</si>
  <si>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</si>
  <si>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</si>
  <si>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</si>
  <si>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</si>
  <si>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</si>
  <si>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</si>
  <si>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</si>
  <si>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</si>
  <si>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</si>
  <si>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</si>
  <si>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</si>
  <si>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</si>
  <si>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</si>
  <si>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</si>
  <si>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'Not reported (2026 framework change)'),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</si>
  <si>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</si>
  <si>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</si>
  <si>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</si>
  <si>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</si>
  <si>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</si>
  <si>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</si>
  <si>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</si>
  <si>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</si>
  <si>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</si>
  <si>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</si>
  <si>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</si>
  <si>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</si>
  <si>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</si>
  <si>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</si>
  <si>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</si>
  <si>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</si>
  <si>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</si>
  <si>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</si>
  <si>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</si>
  <si>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</si>
  <si>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</si>
  <si>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</si>
  <si>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</si>
  <si>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</si>
  <si>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</si>
  <si>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</si>
  <si>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</si>
  <si>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</si>
  <si>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</si>
  <si>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</si>
  <si>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</si>
  <si>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</si>
  <si>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</si>
  <si>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</si>
  <si>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</si>
  <si>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</si>
  <si>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</si>
  <si>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'Not reported (2026 framework change)')]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</si>
  <si>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</si>
  <si>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</si>
  <si>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</si>
  <si>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</si>
  <si>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</si>
  <si>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</si>
  <si>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</si>
  <si>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</si>
  <si>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</si>
  <si>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</si>
  <si>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</si>
  <si>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</si>
  <si>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</si>
  <si>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</si>
  <si>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</si>
  <si>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</si>
  <si>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</si>
  <si>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</si>
  <si>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</si>
  <si>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</si>
  <si>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</si>
  <si>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</si>
  <si>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</si>
  <si>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</si>
  <si>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</si>
  <si>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</si>
  <si>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</si>
  <si>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</si>
  <si>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</si>
  <si>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</si>
  <si>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</si>
  <si>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</si>
  <si>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</si>
  <si>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</si>
  <si>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</si>
  <si>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</si>
  <si>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</si>
  <si>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</si>
  <si>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</si>
  <si>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</si>
  <si>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</si>
  <si>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</si>
  <si>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</si>
  <si>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</si>
  <si>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</si>
  <si>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</si>
  <si>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</si>
  <si>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</si>
  <si>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</si>
  <si>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</si>
  <si>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</si>
  <si>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</si>
  <si>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</si>
  <si>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</si>
  <si>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</si>
  <si>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</si>
  <si>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</si>
  <si>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</si>
  <si>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</si>
  <si>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</si>
  <si>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</si>
  <si>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</si>
  <si>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'Not reported (2026 framework change)'), (355, 'good')]</t>
  </si>
  <si>
    <t>middlesbrough</t>
  </si>
  <si>
    <t>https://files.ofsted.gov.uk/v1/file/50218077</t>
  </si>
  <si>
    <t>13/03/2023</t>
  </si>
  <si>
    <t>24/03/2023</t>
  </si>
  <si>
    <t>25/05/23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</si>
  <si>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</si>
  <si>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</si>
  <si>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</si>
  <si>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</si>
  <si>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</si>
  <si>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</si>
  <si>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</si>
  <si>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</si>
  <si>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</si>
  <si>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</si>
  <si>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</si>
  <si>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</si>
  <si>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</si>
  <si>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</si>
  <si>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</si>
  <si>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</si>
  <si>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</si>
  <si>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</si>
  <si>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</si>
  <si>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</si>
  <si>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</si>
  <si>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</si>
  <si>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</si>
  <si>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</si>
  <si>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'Not reported (2026 framework change)'),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</si>
  <si>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</si>
  <si>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</si>
  <si>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</si>
  <si>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</si>
  <si>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</si>
  <si>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</si>
  <si>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</si>
  <si>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</si>
  <si>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</si>
  <si>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</si>
  <si>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</si>
  <si>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</si>
  <si>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</si>
  <si>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</si>
  <si>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</si>
  <si>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</si>
  <si>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</si>
  <si>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</si>
  <si>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'Not reported (2026 framework change)'),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</si>
  <si>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</si>
  <si>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</si>
  <si>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</si>
  <si>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</si>
  <si>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</si>
  <si>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</si>
  <si>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</si>
  <si>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</si>
  <si>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</si>
  <si>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'Not reported (2026 framework change)'), (935, 'requires improvement'), (925, 'outstanding'), (933, 'Not reported (2026 framework change)'), (883, 'outstanding'), (891, 'good'), (813, 'outstanding'), (887, 'good'), (384, 'good')]</t>
  </si>
  <si>
    <t>north northamptonshire</t>
  </si>
  <si>
    <t>https://files.ofsted.gov.uk/v1/file/50306548</t>
  </si>
  <si>
    <t>david cohen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</si>
  <si>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</si>
  <si>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</si>
  <si>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</si>
  <si>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</si>
  <si>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</si>
  <si>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</si>
  <si>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</si>
  <si>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</si>
  <si>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</si>
  <si>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</si>
  <si>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</si>
  <si>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</si>
  <si>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</si>
  <si>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</si>
  <si>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</si>
  <si>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</si>
  <si>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</si>
  <si>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E06000065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</si>
  <si>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</si>
  <si>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'Not reported (2026 framework change)')]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</si>
  <si>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</si>
  <si>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</si>
  <si>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</si>
  <si>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</si>
  <si>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</si>
  <si>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</si>
  <si>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</si>
  <si>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</si>
  <si>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</si>
  <si>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</si>
  <si>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</si>
  <si>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</si>
  <si>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</si>
  <si>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</si>
  <si>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</si>
  <si>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</si>
  <si>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</si>
  <si>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</si>
  <si>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</si>
  <si>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</si>
  <si>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</si>
  <si>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</si>
  <si>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</si>
  <si>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</si>
  <si>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</si>
  <si>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</si>
  <si>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</si>
  <si>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'Not reported (2026 framework change)'),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</si>
  <si>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</si>
  <si>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</si>
  <si>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</si>
  <si>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</si>
  <si>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</si>
  <si>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</si>
  <si>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</si>
  <si>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</si>
  <si>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</si>
  <si>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</si>
  <si>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</si>
  <si>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</si>
  <si>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</si>
  <si>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</si>
  <si>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</si>
  <si>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</si>
  <si>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</si>
  <si>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</si>
  <si>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</si>
  <si>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</si>
  <si>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</si>
  <si>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</si>
  <si>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</si>
  <si>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</si>
  <si>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</si>
  <si>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</si>
  <si>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</si>
  <si>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</si>
  <si>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</si>
  <si>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</si>
  <si>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</si>
  <si>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</si>
  <si>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</si>
  <si>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</si>
  <si>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</si>
  <si>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</si>
  <si>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</si>
  <si>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</si>
  <si>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</si>
  <si>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</si>
  <si>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</si>
  <si>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</si>
  <si>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</si>
  <si>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</si>
  <si>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</si>
  <si>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</si>
  <si>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</si>
  <si>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</si>
  <si>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</si>
  <si>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</si>
  <si>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</si>
  <si>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</si>
  <si>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</si>
  <si>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</si>
  <si>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</si>
  <si>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</si>
  <si>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</si>
  <si>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</si>
  <si>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</si>
  <si>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</si>
  <si>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</si>
  <si>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</si>
  <si>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</si>
  <si>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</si>
  <si>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</si>
  <si>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</si>
  <si>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</si>
  <si>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</si>
  <si>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</si>
  <si>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</si>
  <si>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</si>
  <si>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</si>
  <si>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</si>
  <si>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</si>
  <si>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</si>
  <si>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</si>
  <si>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</si>
  <si>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</si>
  <si>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</si>
  <si>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</si>
  <si>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</si>
  <si>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</si>
  <si>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</si>
  <si>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</si>
  <si>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</si>
  <si>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</si>
  <si>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</si>
  <si>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</si>
  <si>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</si>
  <si>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</si>
  <si>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</si>
  <si>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</si>
  <si>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</si>
  <si>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</si>
  <si>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</si>
  <si>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</si>
  <si>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</si>
  <si>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</si>
  <si>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</si>
  <si>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</si>
  <si>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</si>
  <si>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</si>
  <si>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</si>
  <si>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</si>
  <si>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</si>
  <si>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</si>
  <si>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</si>
  <si>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</si>
  <si>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</si>
  <si>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</si>
  <si>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</si>
  <si>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</si>
  <si>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</si>
  <si>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</si>
  <si>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</si>
  <si>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</si>
  <si>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</si>
  <si>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</si>
  <si>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</si>
  <si>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</si>
  <si>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</si>
  <si>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</si>
  <si>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</si>
  <si>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</si>
  <si>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</si>
  <si>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</si>
  <si>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</si>
  <si>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</si>
  <si>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</si>
  <si>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</si>
  <si>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</si>
  <si>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</si>
  <si>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</si>
  <si>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</si>
  <si>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</si>
  <si>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</si>
  <si>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</si>
  <si>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</si>
  <si>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</si>
  <si>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</si>
  <si>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</si>
  <si>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E08000039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</si>
  <si>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</si>
  <si>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</si>
  <si>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</si>
  <si>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</si>
  <si>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</si>
  <si>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</si>
  <si>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</si>
  <si>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</si>
  <si>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</si>
  <si>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</si>
  <si>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'Not reported (2026 framework change)'),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</si>
  <si>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</si>
  <si>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</si>
  <si>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</si>
  <si>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</si>
  <si>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</si>
  <si>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</si>
  <si>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'Not reported (2026 framework change)'),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</si>
  <si>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</si>
  <si>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</si>
  <si>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</si>
  <si>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</si>
  <si>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</si>
  <si>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</si>
  <si>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</si>
  <si>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</si>
  <si>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</si>
  <si>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</si>
  <si>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</si>
  <si>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</si>
  <si>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E06000066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</si>
  <si>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</si>
  <si>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</si>
  <si>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</si>
  <si>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https://files.ofsted.gov.uk/v1/file/50304387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</si>
  <si>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</si>
  <si>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</si>
  <si>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</si>
  <si>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</si>
  <si>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</si>
  <si>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</si>
  <si>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</si>
  <si>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</si>
  <si>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</si>
  <si>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</si>
  <si>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</si>
  <si>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</si>
  <si>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</si>
  <si>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</si>
  <si>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</si>
  <si>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</si>
  <si>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</si>
  <si>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</si>
  <si>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</si>
  <si>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</si>
  <si>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</si>
  <si>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</si>
  <si>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</si>
  <si>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</si>
  <si>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</si>
  <si>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</si>
  <si>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</si>
  <si>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</si>
  <si>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</si>
  <si>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</si>
  <si>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</si>
  <si>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</si>
  <si>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</si>
  <si>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</si>
  <si>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</si>
  <si>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</si>
  <si>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</si>
  <si>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</si>
  <si>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</si>
  <si>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</si>
  <si>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</si>
  <si>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</si>
  <si>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</si>
  <si>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'Not reported (2026 framework change)'),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</si>
  <si>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</si>
  <si>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</si>
  <si>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</si>
  <si>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</si>
  <si>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</si>
  <si>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</si>
  <si>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</si>
  <si>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</si>
  <si>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</si>
  <si>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</si>
  <si>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</si>
  <si>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</si>
  <si>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</si>
  <si>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</si>
  <si>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</si>
  <si>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</si>
  <si>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</si>
  <si>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</si>
  <si>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</si>
  <si>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</si>
  <si>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</si>
  <si>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</si>
  <si>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</si>
  <si>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</si>
  <si>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</si>
  <si>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</si>
  <si>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</si>
  <si>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</si>
  <si>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</si>
  <si>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</si>
  <si>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</si>
  <si>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</si>
  <si>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'Not reported (2026 framework change)'), (926, 'outstanding'), (830, 'good'), (891, 'good'), (878, 'inadequate'), (881, 'outstanding'), (886, 'good'), (838, 'outstanding'), (925, 'outstanding'), (940, 'Not reported (2026 framework change)')]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</si>
  <si>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</si>
  <si>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</si>
  <si>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</si>
  <si>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</si>
  <si>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</si>
  <si>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</si>
  <si>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</si>
  <si>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</si>
  <si>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</si>
  <si>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</si>
  <si>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</si>
  <si>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</si>
  <si>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</si>
  <si>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</si>
  <si>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</si>
  <si>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</si>
  <si>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</si>
  <si>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</si>
  <si>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</si>
  <si>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</si>
  <si>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</si>
  <si>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</si>
  <si>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'Not reported (2026 framework change)'), (883, 'outstanding'), (303, 'outstanding'), (822, 'requires improvement'), (941, 'Not reported (2026 framework change)'),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</si>
  <si>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</si>
  <si>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</si>
  <si>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</si>
  <si>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</si>
  <si>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</si>
  <si>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</si>
  <si>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</si>
  <si>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</si>
  <si>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</si>
  <si>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</si>
  <si>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</si>
  <si>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</si>
  <si>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</si>
  <si>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</si>
  <si>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</si>
  <si>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</si>
  <si>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</si>
  <si>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</si>
  <si>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</si>
  <si>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</si>
  <si>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</si>
  <si>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</si>
  <si>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'Not reported (2026 framework change)'), (822, 'requires improvement'), (941, 'Not reported (2026 framework change)'),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</si>
  <si>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</si>
  <si>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</si>
  <si>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</si>
  <si>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</si>
  <si>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</si>
  <si>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</si>
  <si>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</si>
  <si>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</si>
  <si>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</si>
  <si>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</si>
  <si>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</si>
  <si>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</si>
  <si>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</si>
  <si>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</si>
  <si>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</si>
  <si>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</si>
  <si>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</si>
  <si>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</si>
  <si>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</si>
  <si>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</si>
  <si>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</si>
  <si>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</si>
  <si>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</si>
  <si>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</si>
  <si>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</si>
  <si>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</si>
  <si>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</si>
  <si>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</si>
  <si>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</si>
  <si>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</si>
  <si>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</si>
  <si>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</si>
  <si>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</si>
  <si>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</si>
  <si>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</si>
  <si>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</si>
  <si>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</si>
  <si>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</si>
  <si>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</si>
  <si>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</si>
  <si>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</si>
  <si>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</si>
  <si>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</si>
  <si>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</si>
  <si>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</si>
  <si>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</si>
  <si>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</si>
  <si>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</si>
  <si>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</si>
  <si>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</si>
  <si>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</si>
  <si>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</si>
  <si>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</si>
  <si>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</si>
  <si>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</si>
  <si>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</si>
  <si>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</si>
  <si>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</si>
  <si>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</si>
  <si>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</si>
  <si>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</si>
  <si>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'Not reported (2026 framework change)'), (937, 'requires improvement'), (866, 'inadequate'), (933, 'Not reported (2026 framework change)'), (935, 'requires improvement'), (311, 'inadequate'), (855, 'outstanding'), (931, 'good'), (303, 'outstanding')]</t>
  </si>
  <si>
    <t>west northamptonshire</t>
  </si>
  <si>
    <t>https://files.ofsted.gov.uk/v1/file/50306547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</si>
  <si>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</si>
  <si>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</si>
  <si>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</si>
  <si>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</si>
  <si>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</si>
  <si>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</si>
  <si>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</si>
  <si>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</si>
  <si>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</si>
  <si>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</si>
  <si>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E06000064</t>
  </si>
  <si>
    <t>884, 942, 860, 893, 811, 815, 925, 933, 935, 830</t>
  </si>
  <si>
    <t>[(884, 'good'), (942, 'good'), (860, 'requires improvement'), (893, 'outstanding'), (811, 'good'), (815, 'outstanding'), (925, 'outstanding'), (933, 'Not reported (2026 framework change)'),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</si>
  <si>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</si>
  <si>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</si>
  <si>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</si>
  <si>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</si>
  <si>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</si>
  <si>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</si>
  <si>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</si>
  <si>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</si>
  <si>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</si>
  <si>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</si>
  <si>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</si>
  <si>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</si>
  <si>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</si>
  <si>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</si>
  <si>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</si>
  <si>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</si>
  <si>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</si>
  <si>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</si>
  <si>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</si>
  <si>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</si>
  <si>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</si>
  <si>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</si>
  <si>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</si>
  <si>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</si>
  <si>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</si>
  <si>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</si>
  <si>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</si>
  <si>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</si>
  <si>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</si>
  <si>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</si>
  <si>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</si>
  <si>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</si>
  <si>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</si>
  <si>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</si>
  <si>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</si>
  <si>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</si>
  <si>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</si>
  <si>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</si>
  <si>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</si>
  <si>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</si>
  <si>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</si>
  <si>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</si>
  <si>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</si>
  <si>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</si>
  <si>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https://files.ofsted.gov.uk/v1/file/50304388</t>
  </si>
  <si>
    <t>26/01/2026</t>
  </si>
  <si>
    <t>18/06/26</t>
  </si>
  <si>
    <t>80584</t>
  </si>
  <si>
    <t>885</t>
  </si>
  <si>
    <t>E10000034</t>
  </si>
  <si>
    <t>933, 916, 838, 937, 893, 938, 878, 830, 881, 815</t>
  </si>
  <si>
    <t>[(933, 'Not reported (2026 framework change)'),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</si>
  <si>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</si>
  <si>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</si>
  <si>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</si>
  <si>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</si>
  <si>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</si>
  <si>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</si>
  <si>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</si>
  <si>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la_code_new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</si>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</sst>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306784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304386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306548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304387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306547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304388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1412</v>
      </c>
      <c r="B1" s="1" t="s">
        <v>1413</v>
      </c>
      <c r="C1" s="1" t="s">
        <v>1414</v>
      </c>
      <c r="D1" s="1" t="s">
        <v>1415</v>
      </c>
      <c r="E1" s="1" t="s">
        <v>1416</v>
      </c>
      <c r="F1" s="1" t="s">
        <v>1417</v>
      </c>
      <c r="G1" s="1" t="s">
        <v>1418</v>
      </c>
      <c r="H1" s="1" t="s">
        <v>1419</v>
      </c>
      <c r="I1" s="1" t="s">
        <v>1420</v>
      </c>
      <c r="J1" s="1" t="s">
        <v>1421</v>
      </c>
      <c r="K1" s="1" t="s">
        <v>1422</v>
      </c>
      <c r="L1" s="1" t="s">
        <v>1423</v>
      </c>
      <c r="M1" s="1" t="s">
        <v>1424</v>
      </c>
      <c r="N1" s="1" t="s">
        <v>1425</v>
      </c>
      <c r="O1" s="1" t="s">
        <v>1426</v>
      </c>
      <c r="P1" s="1" t="s">
        <v>1427</v>
      </c>
      <c r="Q1" s="1" t="s">
        <v>1428</v>
      </c>
      <c r="R1" s="1" t="s">
        <v>1429</v>
      </c>
      <c r="S1" s="1" t="s">
        <v>1430</v>
      </c>
      <c r="T1" s="1" t="s">
        <v>1431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15</v>
      </c>
    </row>
    <row r="8" spans="1:20">
      <c r="A8" t="s">
        <v>78</v>
      </c>
      <c r="B8" t="s">
        <v>79</v>
      </c>
      <c r="C8" t="s">
        <v>56</v>
      </c>
      <c r="D8" t="s">
        <v>80</v>
      </c>
      <c r="E8" t="s">
        <v>81</v>
      </c>
      <c r="F8" t="s">
        <v>82</v>
      </c>
      <c r="G8" t="s">
        <v>83</v>
      </c>
      <c r="H8" s="2" t="s">
        <v>84</v>
      </c>
      <c r="I8" t="s">
        <v>8</v>
      </c>
      <c r="J8" t="s">
        <v>9</v>
      </c>
      <c r="K8" t="s">
        <v>85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86</v>
      </c>
      <c r="B9" t="s">
        <v>87</v>
      </c>
      <c r="C9" t="s">
        <v>18</v>
      </c>
      <c r="D9" t="s">
        <v>88</v>
      </c>
      <c r="E9" t="s">
        <v>89</v>
      </c>
      <c r="F9" t="s">
        <v>90</v>
      </c>
      <c r="G9" t="s">
        <v>91</v>
      </c>
      <c r="H9" s="2" t="s">
        <v>92</v>
      </c>
      <c r="I9" t="s">
        <v>8</v>
      </c>
      <c r="J9" t="s">
        <v>48</v>
      </c>
      <c r="K9" t="s">
        <v>49</v>
      </c>
      <c r="L9" t="s">
        <v>93</v>
      </c>
      <c r="M9" t="s">
        <v>94</v>
      </c>
      <c r="N9" t="s">
        <v>95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96</v>
      </c>
      <c r="B10" t="s">
        <v>97</v>
      </c>
      <c r="C10" t="s">
        <v>98</v>
      </c>
      <c r="D10" t="s">
        <v>99</v>
      </c>
      <c r="E10" t="s">
        <v>100</v>
      </c>
      <c r="F10" t="s">
        <v>101</v>
      </c>
      <c r="G10" t="s">
        <v>102</v>
      </c>
      <c r="H10" s="2" t="s">
        <v>103</v>
      </c>
      <c r="I10" t="s">
        <v>104</v>
      </c>
      <c r="J10" t="s">
        <v>9</v>
      </c>
      <c r="K10" t="s">
        <v>105</v>
      </c>
      <c r="L10" t="s">
        <v>106</v>
      </c>
      <c r="M10" t="s">
        <v>107</v>
      </c>
      <c r="N10" t="s">
        <v>108</v>
      </c>
      <c r="O10" s="3">
        <f>HYPERLINK(".\.\export_data\inspection_reports\80436_bracknell forest", ".\export_data\inspection_reports\80436_bracknell forest")</f>
        <v>0</v>
      </c>
      <c r="P10" t="s">
        <v>104</v>
      </c>
      <c r="Q10" t="s">
        <v>104</v>
      </c>
      <c r="R10" t="s">
        <v>104</v>
      </c>
      <c r="S10" t="s">
        <v>104</v>
      </c>
      <c r="T10" t="s">
        <v>53</v>
      </c>
    </row>
    <row r="11" spans="1:20">
      <c r="A11" t="s">
        <v>109</v>
      </c>
      <c r="B11" t="s">
        <v>110</v>
      </c>
      <c r="C11" t="s">
        <v>98</v>
      </c>
      <c r="D11" t="s">
        <v>111</v>
      </c>
      <c r="E11" t="s">
        <v>112</v>
      </c>
      <c r="F11" t="s">
        <v>113</v>
      </c>
      <c r="G11" t="s">
        <v>114</v>
      </c>
      <c r="H11" s="2" t="s">
        <v>115</v>
      </c>
      <c r="I11" t="s">
        <v>104</v>
      </c>
      <c r="J11" t="s">
        <v>116</v>
      </c>
      <c r="K11" t="s">
        <v>117</v>
      </c>
      <c r="N11" t="s">
        <v>118</v>
      </c>
      <c r="O11" s="3">
        <f>HYPERLINK(".\.\export_data\inspection_reports\80438_brighton and hove", ".\export_data\inspection_reports\80438_brighton and hove")</f>
        <v>0</v>
      </c>
      <c r="P11" t="s">
        <v>104</v>
      </c>
      <c r="Q11" t="s">
        <v>8</v>
      </c>
      <c r="R11" t="s">
        <v>104</v>
      </c>
      <c r="S11" t="s">
        <v>104</v>
      </c>
      <c r="T11" t="s">
        <v>119</v>
      </c>
    </row>
    <row r="12" spans="1:20">
      <c r="A12" t="s">
        <v>120</v>
      </c>
      <c r="B12" t="s">
        <v>121</v>
      </c>
      <c r="C12" t="s">
        <v>18</v>
      </c>
      <c r="D12" t="s">
        <v>122</v>
      </c>
      <c r="E12" t="s">
        <v>123</v>
      </c>
      <c r="F12" t="s">
        <v>124</v>
      </c>
      <c r="G12" t="s">
        <v>125</v>
      </c>
      <c r="H12" s="2" t="s">
        <v>126</v>
      </c>
      <c r="I12" t="s">
        <v>14</v>
      </c>
      <c r="J12" t="s">
        <v>48</v>
      </c>
      <c r="K12" t="s">
        <v>127</v>
      </c>
      <c r="L12" t="s">
        <v>128</v>
      </c>
      <c r="M12" t="s">
        <v>129</v>
      </c>
      <c r="N12" t="s">
        <v>130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131</v>
      </c>
      <c r="B13" t="s">
        <v>132</v>
      </c>
      <c r="C13" t="s">
        <v>98</v>
      </c>
      <c r="D13" t="s">
        <v>133</v>
      </c>
      <c r="E13" t="s">
        <v>134</v>
      </c>
      <c r="F13" t="s">
        <v>135</v>
      </c>
      <c r="G13" t="s">
        <v>136</v>
      </c>
      <c r="H13" s="2" t="s">
        <v>137</v>
      </c>
      <c r="I13" t="s">
        <v>14</v>
      </c>
      <c r="J13" t="s">
        <v>48</v>
      </c>
      <c r="K13" t="s">
        <v>138</v>
      </c>
      <c r="L13" t="s">
        <v>139</v>
      </c>
      <c r="M13" t="s">
        <v>140</v>
      </c>
      <c r="N13" t="s">
        <v>141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142</v>
      </c>
    </row>
    <row r="14" spans="1:20">
      <c r="A14" t="s">
        <v>143</v>
      </c>
      <c r="B14" t="s">
        <v>144</v>
      </c>
      <c r="C14" t="s">
        <v>56</v>
      </c>
      <c r="D14" t="s">
        <v>145</v>
      </c>
      <c r="E14" t="s">
        <v>146</v>
      </c>
      <c r="F14" t="s">
        <v>147</v>
      </c>
      <c r="G14" t="s">
        <v>148</v>
      </c>
      <c r="H14" s="2" t="s">
        <v>149</v>
      </c>
      <c r="I14" t="s">
        <v>14</v>
      </c>
      <c r="J14" t="s">
        <v>48</v>
      </c>
      <c r="K14" t="s">
        <v>150</v>
      </c>
      <c r="L14" t="s">
        <v>25</v>
      </c>
      <c r="M14" t="s">
        <v>151</v>
      </c>
      <c r="N14" t="s">
        <v>152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153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105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85</v>
      </c>
      <c r="L16" t="s">
        <v>171</v>
      </c>
      <c r="M16" t="s">
        <v>172</v>
      </c>
      <c r="N16" t="s">
        <v>118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118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15</v>
      </c>
    </row>
    <row r="19" spans="1:20">
      <c r="A19" t="s">
        <v>194</v>
      </c>
      <c r="B19" t="s">
        <v>195</v>
      </c>
      <c r="C19" t="s">
        <v>56</v>
      </c>
      <c r="D19" t="s">
        <v>196</v>
      </c>
      <c r="E19" t="s">
        <v>197</v>
      </c>
      <c r="F19" t="s">
        <v>198</v>
      </c>
      <c r="G19" t="s">
        <v>199</v>
      </c>
      <c r="H19" s="2" t="s">
        <v>200</v>
      </c>
      <c r="I19" t="s">
        <v>14</v>
      </c>
      <c r="J19" t="s">
        <v>9</v>
      </c>
      <c r="K19" t="s">
        <v>201</v>
      </c>
      <c r="L19" t="s">
        <v>202</v>
      </c>
      <c r="M19" t="s">
        <v>203</v>
      </c>
      <c r="N19" t="s">
        <v>204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153</v>
      </c>
    </row>
    <row r="20" spans="1:20">
      <c r="A20" t="s">
        <v>205</v>
      </c>
      <c r="B20" t="s">
        <v>206</v>
      </c>
      <c r="C20" t="s">
        <v>2</v>
      </c>
      <c r="D20" t="s">
        <v>207</v>
      </c>
      <c r="E20" t="s">
        <v>208</v>
      </c>
      <c r="F20" t="s">
        <v>209</v>
      </c>
      <c r="G20" t="s">
        <v>210</v>
      </c>
      <c r="H20" s="2" t="s">
        <v>211</v>
      </c>
      <c r="I20" t="s">
        <v>14</v>
      </c>
      <c r="J20" t="s">
        <v>48</v>
      </c>
      <c r="K20" t="s">
        <v>212</v>
      </c>
      <c r="L20" t="s">
        <v>213</v>
      </c>
      <c r="M20" t="s">
        <v>214</v>
      </c>
      <c r="N20" t="s">
        <v>215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153</v>
      </c>
    </row>
    <row r="21" spans="1:20">
      <c r="A21" t="s">
        <v>216</v>
      </c>
      <c r="B21" t="s">
        <v>217</v>
      </c>
      <c r="C21" t="s">
        <v>218</v>
      </c>
      <c r="D21" t="s">
        <v>219</v>
      </c>
      <c r="E21" t="s">
        <v>220</v>
      </c>
      <c r="F21" t="s">
        <v>221</v>
      </c>
      <c r="G21" t="s">
        <v>222</v>
      </c>
      <c r="H21" s="2" t="s">
        <v>223</v>
      </c>
      <c r="I21" t="s">
        <v>104</v>
      </c>
      <c r="J21" t="s">
        <v>9</v>
      </c>
      <c r="K21" t="s">
        <v>224</v>
      </c>
      <c r="L21" t="s">
        <v>225</v>
      </c>
      <c r="M21" t="s">
        <v>226</v>
      </c>
      <c r="N21" t="s">
        <v>227</v>
      </c>
      <c r="O21" s="3">
        <f>HYPERLINK(".\.\export_data\inspection_reports\80450_london corporation", ".\export_data\inspection_reports\80450_london corporation")</f>
        <v>0</v>
      </c>
      <c r="P21" t="s">
        <v>104</v>
      </c>
      <c r="Q21" t="s">
        <v>8</v>
      </c>
      <c r="R21" t="s">
        <v>104</v>
      </c>
      <c r="S21" t="s">
        <v>104</v>
      </c>
      <c r="T21" t="s">
        <v>228</v>
      </c>
    </row>
    <row r="22" spans="1:20">
      <c r="A22" t="s">
        <v>229</v>
      </c>
      <c r="B22" t="s">
        <v>230</v>
      </c>
      <c r="C22" t="s">
        <v>2</v>
      </c>
      <c r="D22" t="s">
        <v>231</v>
      </c>
      <c r="E22" t="s">
        <v>232</v>
      </c>
      <c r="F22" t="s">
        <v>233</v>
      </c>
      <c r="G22" t="s">
        <v>234</v>
      </c>
      <c r="H22" s="2" t="s">
        <v>235</v>
      </c>
      <c r="I22" t="s">
        <v>8</v>
      </c>
      <c r="J22" t="s">
        <v>9</v>
      </c>
      <c r="K22" t="s">
        <v>224</v>
      </c>
      <c r="L22" t="s">
        <v>236</v>
      </c>
      <c r="M22" t="s">
        <v>237</v>
      </c>
      <c r="N22" t="s">
        <v>238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104</v>
      </c>
      <c r="S22" t="s">
        <v>14</v>
      </c>
      <c r="T22" t="s">
        <v>228</v>
      </c>
    </row>
    <row r="23" spans="1:20">
      <c r="A23" t="s">
        <v>239</v>
      </c>
      <c r="B23" t="s">
        <v>240</v>
      </c>
      <c r="C23" t="s">
        <v>2</v>
      </c>
      <c r="D23" t="s">
        <v>241</v>
      </c>
      <c r="E23" t="s">
        <v>242</v>
      </c>
      <c r="F23" t="s">
        <v>243</v>
      </c>
      <c r="G23" t="s">
        <v>244</v>
      </c>
      <c r="H23" s="2" t="s">
        <v>245</v>
      </c>
      <c r="I23" t="s">
        <v>104</v>
      </c>
      <c r="J23" t="s">
        <v>48</v>
      </c>
      <c r="K23" t="s">
        <v>246</v>
      </c>
      <c r="L23" t="s">
        <v>247</v>
      </c>
      <c r="M23" t="s">
        <v>248</v>
      </c>
      <c r="N23" t="s">
        <v>249</v>
      </c>
      <c r="O23" s="3">
        <f>HYPERLINK(".\.\export_data\inspection_reports\80453_york", ".\export_data\inspection_reports\80453_york")</f>
        <v>0</v>
      </c>
      <c r="P23" t="s">
        <v>104</v>
      </c>
      <c r="Q23" t="s">
        <v>104</v>
      </c>
      <c r="R23" t="s">
        <v>104</v>
      </c>
      <c r="S23" t="s">
        <v>104</v>
      </c>
      <c r="T23" t="s">
        <v>53</v>
      </c>
    </row>
    <row r="24" spans="1:20">
      <c r="A24" t="s">
        <v>250</v>
      </c>
      <c r="B24" t="s">
        <v>251</v>
      </c>
      <c r="C24" t="s">
        <v>18</v>
      </c>
      <c r="D24" t="s">
        <v>252</v>
      </c>
      <c r="E24" t="s">
        <v>253</v>
      </c>
      <c r="F24" t="s">
        <v>254</v>
      </c>
      <c r="G24" t="s">
        <v>255</v>
      </c>
      <c r="H24" s="2" t="s">
        <v>256</v>
      </c>
      <c r="I24" t="s">
        <v>8</v>
      </c>
      <c r="J24" t="s">
        <v>9</v>
      </c>
      <c r="K24" t="s">
        <v>257</v>
      </c>
      <c r="L24" t="s">
        <v>258</v>
      </c>
      <c r="M24" t="s">
        <v>259</v>
      </c>
      <c r="N24" t="s">
        <v>260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104</v>
      </c>
      <c r="T24" t="s">
        <v>53</v>
      </c>
    </row>
    <row r="25" spans="1:20">
      <c r="A25" t="s">
        <v>261</v>
      </c>
      <c r="B25" t="s">
        <v>262</v>
      </c>
      <c r="C25" t="s">
        <v>18</v>
      </c>
      <c r="D25" t="s">
        <v>263</v>
      </c>
      <c r="E25" t="s">
        <v>264</v>
      </c>
      <c r="F25" t="s">
        <v>265</v>
      </c>
      <c r="G25" t="s">
        <v>266</v>
      </c>
      <c r="H25" s="2" t="s">
        <v>267</v>
      </c>
      <c r="I25" t="s">
        <v>190</v>
      </c>
      <c r="J25" t="s">
        <v>9</v>
      </c>
      <c r="K25" t="s">
        <v>127</v>
      </c>
      <c r="L25" t="s">
        <v>268</v>
      </c>
      <c r="M25" t="s">
        <v>269</v>
      </c>
      <c r="N25" t="s">
        <v>270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271</v>
      </c>
      <c r="B26" t="s">
        <v>272</v>
      </c>
      <c r="C26" t="s">
        <v>42</v>
      </c>
      <c r="D26" t="s">
        <v>273</v>
      </c>
      <c r="E26" t="s">
        <v>274</v>
      </c>
      <c r="F26" t="s">
        <v>275</v>
      </c>
      <c r="G26" t="s">
        <v>276</v>
      </c>
      <c r="H26" s="2" t="s">
        <v>277</v>
      </c>
      <c r="I26" t="s">
        <v>104</v>
      </c>
      <c r="J26" t="s">
        <v>9</v>
      </c>
      <c r="K26" t="s">
        <v>278</v>
      </c>
      <c r="L26" t="s">
        <v>279</v>
      </c>
      <c r="M26" t="s">
        <v>280</v>
      </c>
      <c r="N26" t="s">
        <v>281</v>
      </c>
      <c r="O26" s="3">
        <f>HYPERLINK(".\.\export_data\inspection_reports\80456_coventry", ".\export_data\inspection_reports\80456_coventry")</f>
        <v>0</v>
      </c>
      <c r="P26" t="s">
        <v>104</v>
      </c>
      <c r="Q26" t="s">
        <v>8</v>
      </c>
      <c r="R26" t="s">
        <v>104</v>
      </c>
      <c r="S26" t="s">
        <v>104</v>
      </c>
      <c r="T26" t="s">
        <v>15</v>
      </c>
    </row>
    <row r="27" spans="1:20">
      <c r="A27" t="s">
        <v>282</v>
      </c>
      <c r="B27" t="s">
        <v>283</v>
      </c>
      <c r="C27" t="s">
        <v>56</v>
      </c>
      <c r="D27" t="s">
        <v>284</v>
      </c>
      <c r="E27" t="s">
        <v>285</v>
      </c>
      <c r="F27" t="s">
        <v>286</v>
      </c>
      <c r="G27" t="s">
        <v>287</v>
      </c>
      <c r="H27" s="2" t="s">
        <v>288</v>
      </c>
      <c r="I27" t="s">
        <v>8</v>
      </c>
      <c r="J27" t="s">
        <v>48</v>
      </c>
      <c r="K27" t="s">
        <v>85</v>
      </c>
      <c r="L27" t="s">
        <v>289</v>
      </c>
      <c r="M27" t="s">
        <v>290</v>
      </c>
      <c r="N27" t="s">
        <v>291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292</v>
      </c>
      <c r="B28" t="s">
        <v>293</v>
      </c>
      <c r="C28" t="s">
        <v>294</v>
      </c>
      <c r="D28" t="s">
        <v>295</v>
      </c>
      <c r="E28" t="s">
        <v>296</v>
      </c>
      <c r="F28" t="s">
        <v>297</v>
      </c>
      <c r="G28" t="s">
        <v>298</v>
      </c>
      <c r="H28" s="2" t="s">
        <v>299</v>
      </c>
      <c r="I28" t="s">
        <v>104</v>
      </c>
      <c r="J28" t="s">
        <v>9</v>
      </c>
      <c r="K28" t="s">
        <v>62</v>
      </c>
      <c r="L28" t="s">
        <v>300</v>
      </c>
      <c r="M28" t="s">
        <v>301</v>
      </c>
      <c r="N28" t="s">
        <v>302</v>
      </c>
      <c r="O28" s="3">
        <f>HYPERLINK(".\.\export_data\inspection_reports\80458_darlington", ".\export_data\inspection_reports\80458_darlington")</f>
        <v>0</v>
      </c>
      <c r="P28" t="s">
        <v>104</v>
      </c>
      <c r="Q28" t="s">
        <v>8</v>
      </c>
      <c r="R28" t="s">
        <v>104</v>
      </c>
      <c r="S28" t="s">
        <v>104</v>
      </c>
      <c r="T28" t="s">
        <v>15</v>
      </c>
    </row>
    <row r="29" spans="1:20">
      <c r="A29" t="s">
        <v>303</v>
      </c>
      <c r="B29" t="s">
        <v>304</v>
      </c>
      <c r="C29" t="s">
        <v>305</v>
      </c>
      <c r="D29" t="s">
        <v>306</v>
      </c>
      <c r="E29" t="s">
        <v>307</v>
      </c>
      <c r="F29" t="s">
        <v>308</v>
      </c>
      <c r="G29" t="s">
        <v>309</v>
      </c>
      <c r="H29" s="2" t="s">
        <v>310</v>
      </c>
      <c r="I29" t="s">
        <v>104</v>
      </c>
      <c r="J29" t="s">
        <v>9</v>
      </c>
      <c r="K29" t="s">
        <v>311</v>
      </c>
      <c r="L29" t="s">
        <v>312</v>
      </c>
      <c r="M29" t="s">
        <v>313</v>
      </c>
      <c r="N29" t="s">
        <v>314</v>
      </c>
      <c r="O29" s="3">
        <f>HYPERLINK(".\.\export_data\inspection_reports\80459_derby", ".\export_data\inspection_reports\80459_derby")</f>
        <v>0</v>
      </c>
      <c r="P29" t="s">
        <v>104</v>
      </c>
      <c r="Q29" t="s">
        <v>104</v>
      </c>
      <c r="R29" t="s">
        <v>104</v>
      </c>
      <c r="S29" t="s">
        <v>104</v>
      </c>
      <c r="T29" t="s">
        <v>153</v>
      </c>
    </row>
    <row r="30" spans="1:20">
      <c r="A30" t="s">
        <v>315</v>
      </c>
      <c r="B30" t="s">
        <v>316</v>
      </c>
      <c r="C30" t="s">
        <v>305</v>
      </c>
      <c r="D30" t="s">
        <v>317</v>
      </c>
      <c r="E30" t="s">
        <v>318</v>
      </c>
      <c r="F30" t="s">
        <v>319</v>
      </c>
      <c r="G30" t="s">
        <v>320</v>
      </c>
      <c r="H30" s="2" t="s">
        <v>321</v>
      </c>
      <c r="I30" t="s">
        <v>8</v>
      </c>
      <c r="J30" t="s">
        <v>48</v>
      </c>
      <c r="K30" t="s">
        <v>49</v>
      </c>
      <c r="L30" t="s">
        <v>322</v>
      </c>
      <c r="M30" t="s">
        <v>323</v>
      </c>
      <c r="N30" t="s">
        <v>324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325</v>
      </c>
      <c r="B31" t="s">
        <v>326</v>
      </c>
      <c r="C31" t="s">
        <v>18</v>
      </c>
      <c r="D31" t="s">
        <v>327</v>
      </c>
      <c r="E31" t="s">
        <v>328</v>
      </c>
      <c r="F31" t="s">
        <v>329</v>
      </c>
      <c r="G31" t="s">
        <v>330</v>
      </c>
      <c r="H31" s="2" t="s">
        <v>331</v>
      </c>
      <c r="I31" t="s">
        <v>190</v>
      </c>
      <c r="J31" t="s">
        <v>48</v>
      </c>
      <c r="K31" t="s">
        <v>116</v>
      </c>
      <c r="L31" t="s">
        <v>332</v>
      </c>
      <c r="M31" t="s">
        <v>333</v>
      </c>
      <c r="N31" t="s">
        <v>334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335</v>
      </c>
    </row>
    <row r="32" spans="1:20">
      <c r="A32" t="s">
        <v>336</v>
      </c>
      <c r="B32" t="s">
        <v>337</v>
      </c>
      <c r="C32" t="s">
        <v>2</v>
      </c>
      <c r="D32" t="s">
        <v>338</v>
      </c>
      <c r="E32" t="s">
        <v>339</v>
      </c>
      <c r="F32" t="s">
        <v>340</v>
      </c>
      <c r="G32" t="s">
        <v>341</v>
      </c>
      <c r="H32" s="2" t="s">
        <v>342</v>
      </c>
      <c r="I32" t="s">
        <v>8</v>
      </c>
      <c r="J32" t="s">
        <v>48</v>
      </c>
      <c r="K32" t="s">
        <v>212</v>
      </c>
      <c r="L32" t="s">
        <v>343</v>
      </c>
      <c r="M32" t="s">
        <v>344</v>
      </c>
      <c r="N32" t="s">
        <v>345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153</v>
      </c>
    </row>
    <row r="33" spans="1:20">
      <c r="A33" t="s">
        <v>346</v>
      </c>
      <c r="B33" t="s">
        <v>347</v>
      </c>
      <c r="C33" t="s">
        <v>18</v>
      </c>
      <c r="D33" t="s">
        <v>348</v>
      </c>
      <c r="E33" t="s">
        <v>349</v>
      </c>
      <c r="F33" t="s">
        <v>350</v>
      </c>
      <c r="G33" t="s">
        <v>351</v>
      </c>
      <c r="H33" s="2" t="s">
        <v>352</v>
      </c>
      <c r="I33" t="s">
        <v>104</v>
      </c>
      <c r="J33" t="s">
        <v>9</v>
      </c>
      <c r="K33" t="s">
        <v>257</v>
      </c>
      <c r="L33" t="s">
        <v>353</v>
      </c>
      <c r="M33" t="s">
        <v>354</v>
      </c>
      <c r="N33" t="s">
        <v>355</v>
      </c>
      <c r="O33" s="3">
        <f>HYPERLINK(".\.\export_data\inspection_reports\2532283_dorset", ".\export_data\inspection_reports\2532283_dorset")</f>
        <v>0</v>
      </c>
      <c r="P33" t="s">
        <v>104</v>
      </c>
      <c r="Q33" t="s">
        <v>104</v>
      </c>
      <c r="R33" t="s">
        <v>104</v>
      </c>
      <c r="S33" t="s">
        <v>8</v>
      </c>
      <c r="T33" t="s">
        <v>53</v>
      </c>
    </row>
    <row r="34" spans="1:20">
      <c r="A34" t="s">
        <v>356</v>
      </c>
      <c r="B34" t="s">
        <v>357</v>
      </c>
      <c r="C34" t="s">
        <v>42</v>
      </c>
      <c r="D34" t="s">
        <v>358</v>
      </c>
      <c r="E34" t="s">
        <v>359</v>
      </c>
      <c r="F34" t="s">
        <v>360</v>
      </c>
      <c r="G34" t="s">
        <v>361</v>
      </c>
      <c r="H34" s="2" t="s">
        <v>362</v>
      </c>
      <c r="I34" t="s">
        <v>14</v>
      </c>
      <c r="J34" t="s">
        <v>48</v>
      </c>
      <c r="K34" t="s">
        <v>49</v>
      </c>
      <c r="L34" t="s">
        <v>363</v>
      </c>
      <c r="M34" t="s">
        <v>364</v>
      </c>
      <c r="N34" t="s">
        <v>365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366</v>
      </c>
      <c r="B35" t="s">
        <v>367</v>
      </c>
      <c r="C35" t="s">
        <v>294</v>
      </c>
      <c r="D35" t="s">
        <v>368</v>
      </c>
      <c r="E35" t="s">
        <v>369</v>
      </c>
      <c r="F35" t="s">
        <v>370</v>
      </c>
      <c r="G35" t="s">
        <v>371</v>
      </c>
      <c r="H35" s="2" t="s">
        <v>372</v>
      </c>
      <c r="I35" t="s">
        <v>104</v>
      </c>
      <c r="J35" t="s">
        <v>9</v>
      </c>
      <c r="K35" t="s">
        <v>373</v>
      </c>
      <c r="L35" t="s">
        <v>236</v>
      </c>
      <c r="M35" t="s">
        <v>237</v>
      </c>
      <c r="N35" t="s">
        <v>334</v>
      </c>
      <c r="O35" s="3">
        <f>HYPERLINK(".\.\export_data\inspection_reports\80465_durham", ".\export_data\inspection_reports\80465_durham")</f>
        <v>0</v>
      </c>
      <c r="P35" t="s">
        <v>104</v>
      </c>
      <c r="Q35" t="s">
        <v>8</v>
      </c>
      <c r="R35" t="s">
        <v>104</v>
      </c>
      <c r="S35" t="s">
        <v>104</v>
      </c>
      <c r="T35" t="s">
        <v>53</v>
      </c>
    </row>
    <row r="36" spans="1:20">
      <c r="A36" t="s">
        <v>374</v>
      </c>
      <c r="B36" t="s">
        <v>375</v>
      </c>
      <c r="C36" t="s">
        <v>2</v>
      </c>
      <c r="D36" t="s">
        <v>376</v>
      </c>
      <c r="E36" t="s">
        <v>377</v>
      </c>
      <c r="F36" t="s">
        <v>378</v>
      </c>
      <c r="G36" t="s">
        <v>379</v>
      </c>
      <c r="H36" s="2" t="s">
        <v>380</v>
      </c>
      <c r="I36" t="s">
        <v>8</v>
      </c>
      <c r="J36" t="s">
        <v>48</v>
      </c>
      <c r="K36" t="s">
        <v>381</v>
      </c>
      <c r="L36" t="s">
        <v>382</v>
      </c>
      <c r="M36" t="s">
        <v>383</v>
      </c>
      <c r="N36" t="s">
        <v>384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153</v>
      </c>
    </row>
    <row r="37" spans="1:20">
      <c r="A37" t="s">
        <v>385</v>
      </c>
      <c r="B37" t="s">
        <v>386</v>
      </c>
      <c r="C37" t="s">
        <v>98</v>
      </c>
      <c r="D37" t="s">
        <v>387</v>
      </c>
      <c r="E37" t="s">
        <v>388</v>
      </c>
      <c r="F37" t="s">
        <v>389</v>
      </c>
      <c r="G37" t="s">
        <v>390</v>
      </c>
      <c r="H37" s="2" t="s">
        <v>391</v>
      </c>
      <c r="I37" t="s">
        <v>8</v>
      </c>
      <c r="J37" t="s">
        <v>9</v>
      </c>
      <c r="K37" t="s">
        <v>392</v>
      </c>
      <c r="L37" t="s">
        <v>393</v>
      </c>
      <c r="M37" t="s">
        <v>394</v>
      </c>
      <c r="N37" t="s">
        <v>395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104</v>
      </c>
      <c r="S37" t="s">
        <v>8</v>
      </c>
      <c r="T37" t="s">
        <v>142</v>
      </c>
    </row>
    <row r="38" spans="1:20">
      <c r="A38" t="s">
        <v>396</v>
      </c>
      <c r="B38" t="s">
        <v>397</v>
      </c>
      <c r="C38" t="s">
        <v>31</v>
      </c>
      <c r="D38" t="s">
        <v>398</v>
      </c>
      <c r="E38" t="s">
        <v>399</v>
      </c>
      <c r="F38" t="s">
        <v>400</v>
      </c>
      <c r="G38" t="s">
        <v>401</v>
      </c>
      <c r="H38" s="2" t="s">
        <v>402</v>
      </c>
      <c r="I38" t="s">
        <v>104</v>
      </c>
      <c r="J38" t="s">
        <v>9</v>
      </c>
      <c r="K38" t="s">
        <v>403</v>
      </c>
      <c r="L38" t="s">
        <v>404</v>
      </c>
      <c r="M38" t="s">
        <v>405</v>
      </c>
      <c r="N38" t="s">
        <v>406</v>
      </c>
      <c r="O38" s="3">
        <f>HYPERLINK(".\.\export_data\inspection_reports\80468_essex", ".\export_data\inspection_reports\80468_essex")</f>
        <v>0</v>
      </c>
      <c r="P38" t="s">
        <v>104</v>
      </c>
      <c r="Q38" t="s">
        <v>104</v>
      </c>
      <c r="R38" t="s">
        <v>104</v>
      </c>
      <c r="S38" t="s">
        <v>104</v>
      </c>
      <c r="T38" t="s">
        <v>15</v>
      </c>
    </row>
    <row r="39" spans="1:20">
      <c r="A39" t="s">
        <v>407</v>
      </c>
      <c r="B39" t="s">
        <v>408</v>
      </c>
      <c r="C39" t="s">
        <v>294</v>
      </c>
      <c r="D39" t="s">
        <v>409</v>
      </c>
      <c r="E39" t="s">
        <v>410</v>
      </c>
      <c r="F39" t="s">
        <v>411</v>
      </c>
      <c r="G39" t="s">
        <v>412</v>
      </c>
      <c r="H39" s="2" t="s">
        <v>413</v>
      </c>
      <c r="I39" t="s">
        <v>8</v>
      </c>
      <c r="J39" t="s">
        <v>9</v>
      </c>
      <c r="K39" t="s">
        <v>246</v>
      </c>
      <c r="L39" t="s">
        <v>93</v>
      </c>
      <c r="M39" t="s">
        <v>414</v>
      </c>
      <c r="N39" t="s">
        <v>95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415</v>
      </c>
      <c r="B40" t="s">
        <v>416</v>
      </c>
      <c r="C40" t="s">
        <v>18</v>
      </c>
      <c r="D40" t="s">
        <v>417</v>
      </c>
      <c r="E40" t="s">
        <v>418</v>
      </c>
      <c r="F40" t="s">
        <v>419</v>
      </c>
      <c r="G40" t="s">
        <v>420</v>
      </c>
      <c r="H40" s="2" t="s">
        <v>421</v>
      </c>
      <c r="I40" t="s">
        <v>8</v>
      </c>
      <c r="J40" t="s">
        <v>48</v>
      </c>
      <c r="K40" t="s">
        <v>278</v>
      </c>
      <c r="L40" t="s">
        <v>25</v>
      </c>
      <c r="M40" t="s">
        <v>151</v>
      </c>
      <c r="N40" t="s">
        <v>422</v>
      </c>
      <c r="O40" s="3">
        <f>HYPERLINK(".\.\export_data\inspection_reports\80470_gloucestershire", ".\export_data\inspection_reports\80470_gloucestershire")</f>
        <v>0</v>
      </c>
      <c r="P40" t="s">
        <v>104</v>
      </c>
      <c r="Q40" t="s">
        <v>8</v>
      </c>
      <c r="R40" t="s">
        <v>104</v>
      </c>
      <c r="S40" t="s">
        <v>8</v>
      </c>
      <c r="T40" t="s">
        <v>15</v>
      </c>
    </row>
    <row r="41" spans="1:20">
      <c r="A41" t="s">
        <v>423</v>
      </c>
      <c r="B41" t="s">
        <v>424</v>
      </c>
      <c r="C41" t="s">
        <v>56</v>
      </c>
      <c r="D41" t="s">
        <v>425</v>
      </c>
      <c r="E41" t="s">
        <v>426</v>
      </c>
      <c r="F41" t="s">
        <v>427</v>
      </c>
      <c r="G41" t="s">
        <v>428</v>
      </c>
      <c r="H41" s="2" t="s">
        <v>429</v>
      </c>
      <c r="I41" t="s">
        <v>190</v>
      </c>
      <c r="J41" t="s">
        <v>48</v>
      </c>
      <c r="K41" t="s">
        <v>73</v>
      </c>
      <c r="L41" t="s">
        <v>430</v>
      </c>
      <c r="M41" t="s">
        <v>431</v>
      </c>
      <c r="N41" t="s">
        <v>432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15</v>
      </c>
    </row>
    <row r="42" spans="1:20">
      <c r="A42" t="s">
        <v>433</v>
      </c>
      <c r="B42" t="s">
        <v>434</v>
      </c>
      <c r="C42" t="s">
        <v>98</v>
      </c>
      <c r="D42" t="s">
        <v>435</v>
      </c>
      <c r="E42" t="s">
        <v>436</v>
      </c>
      <c r="F42" t="s">
        <v>437</v>
      </c>
      <c r="G42" t="s">
        <v>438</v>
      </c>
      <c r="H42" s="2" t="s">
        <v>439</v>
      </c>
      <c r="I42" t="s">
        <v>104</v>
      </c>
      <c r="J42" t="s">
        <v>9</v>
      </c>
      <c r="K42" t="s">
        <v>403</v>
      </c>
      <c r="L42" t="s">
        <v>440</v>
      </c>
      <c r="M42" t="s">
        <v>441</v>
      </c>
      <c r="N42" t="s">
        <v>442</v>
      </c>
      <c r="O42" s="3">
        <f>HYPERLINK(".\.\export_data\inspection_reports\80472_hampshire", ".\export_data\inspection_reports\80472_hampshire")</f>
        <v>0</v>
      </c>
      <c r="P42" t="s">
        <v>104</v>
      </c>
      <c r="Q42" t="s">
        <v>104</v>
      </c>
      <c r="R42" t="s">
        <v>104</v>
      </c>
      <c r="S42" t="s">
        <v>8</v>
      </c>
      <c r="T42" t="s">
        <v>15</v>
      </c>
    </row>
    <row r="43" spans="1:20">
      <c r="A43" t="s">
        <v>443</v>
      </c>
      <c r="B43" t="s">
        <v>444</v>
      </c>
      <c r="C43" t="s">
        <v>294</v>
      </c>
      <c r="D43" t="s">
        <v>445</v>
      </c>
      <c r="E43" t="s">
        <v>446</v>
      </c>
      <c r="F43" t="s">
        <v>447</v>
      </c>
      <c r="G43" t="s">
        <v>448</v>
      </c>
      <c r="H43" s="2" t="s">
        <v>449</v>
      </c>
      <c r="I43" t="s">
        <v>104</v>
      </c>
      <c r="J43" t="s">
        <v>9</v>
      </c>
      <c r="K43" t="s">
        <v>381</v>
      </c>
      <c r="L43" t="s">
        <v>450</v>
      </c>
      <c r="M43" t="s">
        <v>451</v>
      </c>
      <c r="N43" t="s">
        <v>118</v>
      </c>
      <c r="O43" s="3">
        <f>HYPERLINK(".\.\export_data\inspection_reports\80473_hartlepool", ".\export_data\inspection_reports\80473_hartlepool")</f>
        <v>0</v>
      </c>
      <c r="P43" t="s">
        <v>104</v>
      </c>
      <c r="Q43" t="s">
        <v>104</v>
      </c>
      <c r="R43" t="s">
        <v>104</v>
      </c>
      <c r="S43" t="s">
        <v>8</v>
      </c>
      <c r="T43" t="s">
        <v>153</v>
      </c>
    </row>
    <row r="44" spans="1:20">
      <c r="A44" t="s">
        <v>452</v>
      </c>
      <c r="B44" t="s">
        <v>453</v>
      </c>
      <c r="C44" t="s">
        <v>42</v>
      </c>
      <c r="D44" t="s">
        <v>454</v>
      </c>
      <c r="E44" t="s">
        <v>455</v>
      </c>
      <c r="F44" t="s">
        <v>456</v>
      </c>
      <c r="G44" t="s">
        <v>457</v>
      </c>
      <c r="H44" s="2" t="s">
        <v>458</v>
      </c>
      <c r="I44" t="s">
        <v>8</v>
      </c>
      <c r="J44" t="s">
        <v>48</v>
      </c>
      <c r="K44" t="s">
        <v>150</v>
      </c>
      <c r="L44" t="s">
        <v>459</v>
      </c>
      <c r="M44" t="s">
        <v>460</v>
      </c>
      <c r="N44" t="s">
        <v>461</v>
      </c>
      <c r="O44" s="3">
        <f>HYPERLINK(".\.\export_data\inspection_reports\80474_herefordshire", ".\export_data\inspection_reports\80474_herefordshire")</f>
        <v>0</v>
      </c>
      <c r="P44" t="s">
        <v>104</v>
      </c>
      <c r="Q44" t="s">
        <v>8</v>
      </c>
      <c r="R44" t="s">
        <v>8</v>
      </c>
      <c r="S44" t="s">
        <v>8</v>
      </c>
      <c r="T44" t="s">
        <v>153</v>
      </c>
    </row>
    <row r="45" spans="1:20">
      <c r="A45" t="s">
        <v>462</v>
      </c>
      <c r="B45" t="s">
        <v>463</v>
      </c>
      <c r="C45" t="s">
        <v>31</v>
      </c>
      <c r="D45" t="s">
        <v>464</v>
      </c>
      <c r="E45" t="s">
        <v>465</v>
      </c>
      <c r="F45" t="s">
        <v>466</v>
      </c>
      <c r="G45" t="s">
        <v>467</v>
      </c>
      <c r="H45" s="2" t="s">
        <v>468</v>
      </c>
      <c r="I45" t="s">
        <v>104</v>
      </c>
      <c r="J45" t="s">
        <v>9</v>
      </c>
      <c r="K45" t="s">
        <v>257</v>
      </c>
      <c r="L45" t="s">
        <v>469</v>
      </c>
      <c r="M45" t="s">
        <v>129</v>
      </c>
      <c r="N45" t="s">
        <v>130</v>
      </c>
      <c r="O45" s="3">
        <f>HYPERLINK(".\.\export_data\inspection_reports\80475_hertfordshire", ".\export_data\inspection_reports\80475_hertfordshire")</f>
        <v>0</v>
      </c>
      <c r="P45" t="s">
        <v>104</v>
      </c>
      <c r="Q45" t="s">
        <v>8</v>
      </c>
      <c r="R45" t="s">
        <v>104</v>
      </c>
      <c r="S45" t="s">
        <v>8</v>
      </c>
      <c r="T45" t="s">
        <v>53</v>
      </c>
    </row>
    <row r="46" spans="1:20">
      <c r="A46" t="s">
        <v>470</v>
      </c>
      <c r="B46" t="s">
        <v>471</v>
      </c>
      <c r="C46" t="s">
        <v>98</v>
      </c>
      <c r="D46" t="s">
        <v>472</v>
      </c>
      <c r="E46" t="s">
        <v>473</v>
      </c>
      <c r="F46" t="s">
        <v>474</v>
      </c>
      <c r="G46" t="s">
        <v>475</v>
      </c>
      <c r="H46" s="2" t="s">
        <v>476</v>
      </c>
      <c r="I46" t="s">
        <v>8</v>
      </c>
      <c r="J46" t="s">
        <v>9</v>
      </c>
      <c r="K46" t="s">
        <v>24</v>
      </c>
      <c r="L46" t="s">
        <v>322</v>
      </c>
      <c r="M46" t="s">
        <v>477</v>
      </c>
      <c r="N46" t="s">
        <v>478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479</v>
      </c>
      <c r="B47" t="s">
        <v>480</v>
      </c>
      <c r="C47" t="s">
        <v>98</v>
      </c>
      <c r="D47" t="s">
        <v>481</v>
      </c>
      <c r="E47" t="s">
        <v>482</v>
      </c>
      <c r="F47" t="s">
        <v>483</v>
      </c>
      <c r="G47" t="s">
        <v>484</v>
      </c>
      <c r="H47" s="2" t="s">
        <v>485</v>
      </c>
      <c r="I47" t="s">
        <v>8</v>
      </c>
      <c r="J47" t="s">
        <v>9</v>
      </c>
      <c r="K47" t="s">
        <v>486</v>
      </c>
      <c r="L47" t="s">
        <v>487</v>
      </c>
      <c r="M47" t="s">
        <v>488</v>
      </c>
      <c r="N47" t="s">
        <v>489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104</v>
      </c>
      <c r="S47" t="s">
        <v>14</v>
      </c>
      <c r="T47" t="s">
        <v>490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246</v>
      </c>
      <c r="L48" t="s">
        <v>498</v>
      </c>
      <c r="M48" t="s">
        <v>280</v>
      </c>
      <c r="N48" t="s">
        <v>281</v>
      </c>
      <c r="O48" s="3">
        <f>HYPERLINK(".\.\export_data\inspection_reports\80477_kingston upon hull", ".\export_data\inspection_reports\80477_kingston upon hull")</f>
        <v>0</v>
      </c>
      <c r="P48" t="s">
        <v>104</v>
      </c>
      <c r="Q48" t="s">
        <v>8</v>
      </c>
      <c r="R48" t="s">
        <v>8</v>
      </c>
      <c r="S48" t="s">
        <v>104</v>
      </c>
      <c r="T48" t="s">
        <v>53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203</v>
      </c>
      <c r="N49" t="s">
        <v>204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190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8</v>
      </c>
      <c r="J51" t="s">
        <v>48</v>
      </c>
      <c r="K51" t="s">
        <v>257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104</v>
      </c>
      <c r="J52" t="s">
        <v>9</v>
      </c>
      <c r="K52" t="s">
        <v>212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104</v>
      </c>
      <c r="Q52" t="s">
        <v>8</v>
      </c>
      <c r="R52" t="s">
        <v>104</v>
      </c>
      <c r="S52" t="s">
        <v>104</v>
      </c>
      <c r="T52" t="s">
        <v>153</v>
      </c>
    </row>
    <row r="53" spans="1:20">
      <c r="A53" t="s">
        <v>539</v>
      </c>
      <c r="B53" t="s">
        <v>540</v>
      </c>
      <c r="C53" t="s">
        <v>305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392</v>
      </c>
      <c r="L53" t="s">
        <v>225</v>
      </c>
      <c r="M53" t="s">
        <v>226</v>
      </c>
      <c r="N53" t="s">
        <v>95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142</v>
      </c>
    </row>
    <row r="54" spans="1:20">
      <c r="A54" t="s">
        <v>546</v>
      </c>
      <c r="B54" t="s">
        <v>547</v>
      </c>
      <c r="C54" t="s">
        <v>305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104</v>
      </c>
      <c r="J54" t="s">
        <v>48</v>
      </c>
      <c r="K54" t="s">
        <v>373</v>
      </c>
      <c r="L54" t="s">
        <v>553</v>
      </c>
      <c r="M54" t="s">
        <v>554</v>
      </c>
      <c r="N54" t="s">
        <v>432</v>
      </c>
      <c r="O54" s="3">
        <f>HYPERLINK(".\.\export_data\inspection_reports\80483_leicestershire", ".\export_data\inspection_reports\80483_leicestershire")</f>
        <v>0</v>
      </c>
      <c r="P54" t="s">
        <v>104</v>
      </c>
      <c r="Q54" t="s">
        <v>8</v>
      </c>
      <c r="R54" t="s">
        <v>104</v>
      </c>
      <c r="S54" t="s">
        <v>104</v>
      </c>
      <c r="T54" t="s">
        <v>53</v>
      </c>
    </row>
    <row r="55" spans="1:20">
      <c r="A55" t="s">
        <v>555</v>
      </c>
      <c r="B55" t="s">
        <v>556</v>
      </c>
      <c r="C55" t="s">
        <v>305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104</v>
      </c>
      <c r="J55" t="s">
        <v>9</v>
      </c>
      <c r="K55" t="s">
        <v>311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104</v>
      </c>
      <c r="Q55" t="s">
        <v>104</v>
      </c>
      <c r="R55" t="s">
        <v>104</v>
      </c>
      <c r="S55" t="s">
        <v>8</v>
      </c>
      <c r="T55" t="s">
        <v>153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572</v>
      </c>
      <c r="J56" t="s">
        <v>48</v>
      </c>
      <c r="K56" t="s">
        <v>191</v>
      </c>
      <c r="L56" t="s">
        <v>573</v>
      </c>
      <c r="M56" t="s">
        <v>574</v>
      </c>
      <c r="N56" t="s">
        <v>575</v>
      </c>
      <c r="O56" s="3">
        <f>HYPERLINK(".\.\export_data\inspection_reports\80485_liverpool", ".\export_data\inspection_reports\80485_liverpool")</f>
        <v>0</v>
      </c>
      <c r="P56" t="s">
        <v>8</v>
      </c>
      <c r="Q56" t="s">
        <v>8</v>
      </c>
      <c r="R56" t="s">
        <v>8</v>
      </c>
      <c r="S56" t="s">
        <v>14</v>
      </c>
      <c r="T56" t="s">
        <v>15</v>
      </c>
    </row>
    <row r="57" spans="1:20">
      <c r="A57" t="s">
        <v>576</v>
      </c>
      <c r="B57" t="s">
        <v>577</v>
      </c>
      <c r="C57" t="s">
        <v>218</v>
      </c>
      <c r="D57" t="s">
        <v>578</v>
      </c>
      <c r="E57" t="s">
        <v>579</v>
      </c>
      <c r="F57" t="s">
        <v>580</v>
      </c>
      <c r="G57" t="s">
        <v>581</v>
      </c>
      <c r="H57" s="2" t="s">
        <v>582</v>
      </c>
      <c r="I57" t="s">
        <v>14</v>
      </c>
      <c r="J57" t="s">
        <v>48</v>
      </c>
      <c r="K57" t="s">
        <v>105</v>
      </c>
      <c r="L57" t="s">
        <v>583</v>
      </c>
      <c r="M57" t="s">
        <v>584</v>
      </c>
      <c r="N57" t="s">
        <v>585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586</v>
      </c>
      <c r="B58" t="s">
        <v>587</v>
      </c>
      <c r="C58" t="s">
        <v>218</v>
      </c>
      <c r="D58" t="s">
        <v>588</v>
      </c>
      <c r="E58" t="s">
        <v>589</v>
      </c>
      <c r="F58" t="s">
        <v>590</v>
      </c>
      <c r="G58" t="s">
        <v>591</v>
      </c>
      <c r="H58" s="2" t="s">
        <v>592</v>
      </c>
      <c r="I58" t="s">
        <v>8</v>
      </c>
      <c r="J58" t="s">
        <v>9</v>
      </c>
      <c r="K58" t="s">
        <v>105</v>
      </c>
      <c r="L58" t="s">
        <v>440</v>
      </c>
      <c r="M58" t="s">
        <v>441</v>
      </c>
      <c r="N58" t="s">
        <v>442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104</v>
      </c>
      <c r="S58" t="s">
        <v>8</v>
      </c>
      <c r="T58" t="s">
        <v>53</v>
      </c>
    </row>
    <row r="59" spans="1:20">
      <c r="A59" t="s">
        <v>593</v>
      </c>
      <c r="B59" t="s">
        <v>594</v>
      </c>
      <c r="C59" t="s">
        <v>218</v>
      </c>
      <c r="D59" t="s">
        <v>595</v>
      </c>
      <c r="E59" t="s">
        <v>596</v>
      </c>
      <c r="F59" t="s">
        <v>597</v>
      </c>
      <c r="G59" t="s">
        <v>598</v>
      </c>
      <c r="H59" s="2" t="s">
        <v>599</v>
      </c>
      <c r="I59" t="s">
        <v>104</v>
      </c>
      <c r="J59" t="s">
        <v>9</v>
      </c>
      <c r="K59" t="s">
        <v>392</v>
      </c>
      <c r="L59" t="s">
        <v>600</v>
      </c>
      <c r="M59" t="s">
        <v>383</v>
      </c>
      <c r="N59" t="s">
        <v>384</v>
      </c>
      <c r="O59" s="3">
        <f>HYPERLINK(".\.\export_data\inspection_reports\80488_bexley", ".\export_data\inspection_reports\80488_bexley")</f>
        <v>0</v>
      </c>
      <c r="P59" t="s">
        <v>104</v>
      </c>
      <c r="Q59" t="s">
        <v>8</v>
      </c>
      <c r="R59" t="s">
        <v>8</v>
      </c>
      <c r="S59" t="s">
        <v>104</v>
      </c>
      <c r="T59" t="s">
        <v>142</v>
      </c>
    </row>
    <row r="60" spans="1:20">
      <c r="A60" t="s">
        <v>601</v>
      </c>
      <c r="B60" t="s">
        <v>602</v>
      </c>
      <c r="C60" t="s">
        <v>218</v>
      </c>
      <c r="D60" t="s">
        <v>603</v>
      </c>
      <c r="E60" t="s">
        <v>604</v>
      </c>
      <c r="F60" t="s">
        <v>605</v>
      </c>
      <c r="G60" t="s">
        <v>606</v>
      </c>
      <c r="H60" s="2" t="s">
        <v>607</v>
      </c>
      <c r="I60" t="s">
        <v>572</v>
      </c>
      <c r="J60" t="s">
        <v>9</v>
      </c>
      <c r="K60" t="s">
        <v>608</v>
      </c>
      <c r="L60" t="s">
        <v>609</v>
      </c>
      <c r="M60" t="s">
        <v>610</v>
      </c>
      <c r="N60" t="s">
        <v>611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15</v>
      </c>
    </row>
    <row r="61" spans="1:20">
      <c r="A61" t="s">
        <v>612</v>
      </c>
      <c r="B61" t="s">
        <v>613</v>
      </c>
      <c r="C61" t="s">
        <v>218</v>
      </c>
      <c r="D61" t="s">
        <v>614</v>
      </c>
      <c r="E61" t="s">
        <v>615</v>
      </c>
      <c r="F61" t="s">
        <v>616</v>
      </c>
      <c r="G61" t="s">
        <v>617</v>
      </c>
      <c r="H61" s="2" t="s">
        <v>618</v>
      </c>
      <c r="I61" t="s">
        <v>104</v>
      </c>
      <c r="J61" t="s">
        <v>9</v>
      </c>
      <c r="K61" t="s">
        <v>619</v>
      </c>
      <c r="L61" t="s">
        <v>620</v>
      </c>
      <c r="M61" t="s">
        <v>621</v>
      </c>
      <c r="N61" t="s">
        <v>324</v>
      </c>
      <c r="O61" s="3">
        <f>HYPERLINK(".\.\export_data\inspection_reports\80490_bromley", ".\export_data\inspection_reports\80490_bromley")</f>
        <v>0</v>
      </c>
      <c r="P61" t="s">
        <v>104</v>
      </c>
      <c r="Q61" t="s">
        <v>104</v>
      </c>
      <c r="R61" t="s">
        <v>104</v>
      </c>
      <c r="S61" t="s">
        <v>104</v>
      </c>
      <c r="T61" t="s">
        <v>53</v>
      </c>
    </row>
    <row r="62" spans="1:20">
      <c r="A62" t="s">
        <v>622</v>
      </c>
      <c r="B62" t="s">
        <v>623</v>
      </c>
      <c r="C62" t="s">
        <v>218</v>
      </c>
      <c r="D62" t="s">
        <v>624</v>
      </c>
      <c r="E62" t="s">
        <v>625</v>
      </c>
      <c r="F62" t="s">
        <v>626</v>
      </c>
      <c r="G62" t="s">
        <v>627</v>
      </c>
      <c r="H62" s="2" t="s">
        <v>628</v>
      </c>
      <c r="I62" t="s">
        <v>104</v>
      </c>
      <c r="J62" t="s">
        <v>9</v>
      </c>
      <c r="K62" t="s">
        <v>619</v>
      </c>
      <c r="L62" t="s">
        <v>63</v>
      </c>
      <c r="M62" t="s">
        <v>248</v>
      </c>
      <c r="N62" t="s">
        <v>249</v>
      </c>
      <c r="O62" s="3">
        <f>HYPERLINK(".\.\export_data\inspection_reports\80491_camden", ".\export_data\inspection_reports\80491_camden")</f>
        <v>0</v>
      </c>
      <c r="P62" t="s">
        <v>104</v>
      </c>
      <c r="Q62" t="s">
        <v>104</v>
      </c>
      <c r="R62" t="s">
        <v>104</v>
      </c>
      <c r="S62" t="s">
        <v>104</v>
      </c>
      <c r="T62" t="s">
        <v>53</v>
      </c>
    </row>
    <row r="63" spans="1:20">
      <c r="A63" t="s">
        <v>629</v>
      </c>
      <c r="B63" t="s">
        <v>630</v>
      </c>
      <c r="C63" t="s">
        <v>218</v>
      </c>
      <c r="D63" t="s">
        <v>631</v>
      </c>
      <c r="E63" t="s">
        <v>632</v>
      </c>
      <c r="F63" t="s">
        <v>633</v>
      </c>
      <c r="G63" t="s">
        <v>634</v>
      </c>
      <c r="H63" s="2" t="s">
        <v>635</v>
      </c>
      <c r="I63" t="s">
        <v>8</v>
      </c>
      <c r="J63" t="s">
        <v>48</v>
      </c>
      <c r="K63" t="s">
        <v>224</v>
      </c>
      <c r="L63" t="s">
        <v>636</v>
      </c>
      <c r="M63" t="s">
        <v>637</v>
      </c>
      <c r="N63" t="s">
        <v>638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228</v>
      </c>
    </row>
    <row r="64" spans="1:20">
      <c r="A64" t="s">
        <v>639</v>
      </c>
      <c r="B64" t="s">
        <v>640</v>
      </c>
      <c r="C64" t="s">
        <v>218</v>
      </c>
      <c r="D64" t="s">
        <v>641</v>
      </c>
      <c r="E64" t="s">
        <v>642</v>
      </c>
      <c r="F64" t="s">
        <v>643</v>
      </c>
      <c r="G64" t="s">
        <v>644</v>
      </c>
      <c r="H64" s="2" t="s">
        <v>645</v>
      </c>
      <c r="I64" t="s">
        <v>8</v>
      </c>
      <c r="J64" t="s">
        <v>48</v>
      </c>
      <c r="K64" t="s">
        <v>392</v>
      </c>
      <c r="L64" t="s">
        <v>553</v>
      </c>
      <c r="M64" t="s">
        <v>554</v>
      </c>
      <c r="N64" t="s">
        <v>432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142</v>
      </c>
    </row>
    <row r="65" spans="1:20">
      <c r="A65" t="s">
        <v>646</v>
      </c>
      <c r="B65" t="s">
        <v>647</v>
      </c>
      <c r="C65" t="s">
        <v>218</v>
      </c>
      <c r="D65" t="s">
        <v>648</v>
      </c>
      <c r="E65" t="s">
        <v>649</v>
      </c>
      <c r="F65" t="s">
        <v>650</v>
      </c>
      <c r="G65" t="s">
        <v>651</v>
      </c>
      <c r="H65" s="2" t="s">
        <v>652</v>
      </c>
      <c r="I65" t="s">
        <v>8</v>
      </c>
      <c r="J65" t="s">
        <v>9</v>
      </c>
      <c r="K65" t="s">
        <v>224</v>
      </c>
      <c r="L65" t="s">
        <v>653</v>
      </c>
      <c r="M65" t="s">
        <v>654</v>
      </c>
      <c r="N65" t="s">
        <v>655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104</v>
      </c>
      <c r="S65" t="s">
        <v>8</v>
      </c>
      <c r="T65" t="s">
        <v>228</v>
      </c>
    </row>
    <row r="66" spans="1:20">
      <c r="A66" t="s">
        <v>656</v>
      </c>
      <c r="B66" t="s">
        <v>657</v>
      </c>
      <c r="C66" t="s">
        <v>218</v>
      </c>
      <c r="D66" t="s">
        <v>658</v>
      </c>
      <c r="E66" t="s">
        <v>659</v>
      </c>
      <c r="F66" t="s">
        <v>660</v>
      </c>
      <c r="G66" t="s">
        <v>661</v>
      </c>
      <c r="H66" s="2" t="s">
        <v>662</v>
      </c>
      <c r="I66" t="s">
        <v>104</v>
      </c>
      <c r="J66" t="s">
        <v>9</v>
      </c>
      <c r="K66" t="s">
        <v>392</v>
      </c>
      <c r="L66" t="s">
        <v>663</v>
      </c>
      <c r="M66" t="s">
        <v>664</v>
      </c>
      <c r="N66" t="s">
        <v>665</v>
      </c>
      <c r="O66" s="3">
        <f>HYPERLINK(".\.\export_data\inspection_reports\80495_greenwich", ".\export_data\inspection_reports\80495_greenwich")</f>
        <v>0</v>
      </c>
      <c r="P66" t="s">
        <v>104</v>
      </c>
      <c r="Q66" t="s">
        <v>8</v>
      </c>
      <c r="R66" t="s">
        <v>104</v>
      </c>
      <c r="S66" t="s">
        <v>104</v>
      </c>
      <c r="T66" t="s">
        <v>142</v>
      </c>
    </row>
    <row r="67" spans="1:20">
      <c r="A67" t="s">
        <v>666</v>
      </c>
      <c r="B67" t="s">
        <v>667</v>
      </c>
      <c r="C67" t="s">
        <v>218</v>
      </c>
      <c r="D67" t="s">
        <v>668</v>
      </c>
      <c r="E67" t="s">
        <v>669</v>
      </c>
      <c r="F67" t="s">
        <v>670</v>
      </c>
      <c r="G67" t="s">
        <v>671</v>
      </c>
      <c r="H67" s="2" t="s">
        <v>672</v>
      </c>
      <c r="I67" t="s">
        <v>8</v>
      </c>
      <c r="J67" t="s">
        <v>48</v>
      </c>
      <c r="K67" t="s">
        <v>311</v>
      </c>
      <c r="L67" t="s">
        <v>258</v>
      </c>
      <c r="M67" t="s">
        <v>673</v>
      </c>
      <c r="N67" t="s">
        <v>674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153</v>
      </c>
    </row>
    <row r="68" spans="1:20">
      <c r="A68" t="s">
        <v>675</v>
      </c>
      <c r="B68" t="s">
        <v>676</v>
      </c>
      <c r="C68" t="s">
        <v>218</v>
      </c>
      <c r="D68" t="s">
        <v>677</v>
      </c>
      <c r="E68" t="s">
        <v>678</v>
      </c>
      <c r="F68" t="s">
        <v>679</v>
      </c>
      <c r="G68" t="s">
        <v>680</v>
      </c>
      <c r="H68" s="2" t="s">
        <v>681</v>
      </c>
      <c r="I68" t="s">
        <v>104</v>
      </c>
      <c r="J68" t="s">
        <v>9</v>
      </c>
      <c r="K68" t="s">
        <v>224</v>
      </c>
      <c r="L68" t="s">
        <v>682</v>
      </c>
      <c r="M68" t="s">
        <v>172</v>
      </c>
      <c r="N68" t="s">
        <v>118</v>
      </c>
      <c r="O68" s="3">
        <f>HYPERLINK(".\.\export_data\inspection_reports\80497_hammersmith and fulham", ".\export_data\inspection_reports\80497_hammersmith and fulham")</f>
        <v>0</v>
      </c>
      <c r="P68" t="s">
        <v>104</v>
      </c>
      <c r="Q68" t="s">
        <v>8</v>
      </c>
      <c r="R68" t="s">
        <v>104</v>
      </c>
      <c r="S68" t="s">
        <v>104</v>
      </c>
      <c r="T68" t="s">
        <v>228</v>
      </c>
    </row>
    <row r="69" spans="1:20">
      <c r="A69" t="s">
        <v>683</v>
      </c>
      <c r="B69" t="s">
        <v>684</v>
      </c>
      <c r="C69" t="s">
        <v>218</v>
      </c>
      <c r="D69" t="s">
        <v>685</v>
      </c>
      <c r="E69" t="s">
        <v>686</v>
      </c>
      <c r="F69" t="s">
        <v>687</v>
      </c>
      <c r="G69" t="s">
        <v>688</v>
      </c>
      <c r="H69" s="2" t="s">
        <v>689</v>
      </c>
      <c r="I69" t="s">
        <v>104</v>
      </c>
      <c r="J69" t="s">
        <v>9</v>
      </c>
      <c r="K69" t="s">
        <v>224</v>
      </c>
      <c r="L69" t="s">
        <v>213</v>
      </c>
      <c r="M69" t="s">
        <v>690</v>
      </c>
      <c r="N69" t="s">
        <v>691</v>
      </c>
      <c r="O69" s="3">
        <f>HYPERLINK(".\.\export_data\inspection_reports\80498_haringey", ".\export_data\inspection_reports\80498_haringey")</f>
        <v>0</v>
      </c>
      <c r="P69" t="s">
        <v>104</v>
      </c>
      <c r="Q69" t="s">
        <v>8</v>
      </c>
      <c r="R69" t="s">
        <v>8</v>
      </c>
      <c r="S69" t="s">
        <v>104</v>
      </c>
      <c r="T69" t="s">
        <v>228</v>
      </c>
    </row>
    <row r="70" spans="1:20">
      <c r="A70" t="s">
        <v>692</v>
      </c>
      <c r="B70" t="s">
        <v>693</v>
      </c>
      <c r="C70" t="s">
        <v>218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190</v>
      </c>
      <c r="J70" t="s">
        <v>9</v>
      </c>
      <c r="K70" t="s">
        <v>515</v>
      </c>
      <c r="L70" t="s">
        <v>343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701</v>
      </c>
      <c r="B71" t="s">
        <v>702</v>
      </c>
      <c r="C71" t="s">
        <v>218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190</v>
      </c>
      <c r="J71" t="s">
        <v>48</v>
      </c>
      <c r="K71" t="s">
        <v>619</v>
      </c>
      <c r="L71" t="s">
        <v>393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710</v>
      </c>
      <c r="B72" t="s">
        <v>711</v>
      </c>
      <c r="C72" t="s">
        <v>218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104</v>
      </c>
      <c r="J72" t="s">
        <v>9</v>
      </c>
      <c r="K72" t="s">
        <v>224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104</v>
      </c>
      <c r="Q72" t="s">
        <v>8</v>
      </c>
      <c r="R72" t="s">
        <v>104</v>
      </c>
      <c r="S72" t="s">
        <v>8</v>
      </c>
      <c r="T72" t="s">
        <v>228</v>
      </c>
    </row>
    <row r="73" spans="1:20">
      <c r="A73" t="s">
        <v>720</v>
      </c>
      <c r="B73" t="s">
        <v>721</v>
      </c>
      <c r="C73" t="s">
        <v>218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138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104</v>
      </c>
      <c r="Q73" t="s">
        <v>8</v>
      </c>
      <c r="R73" t="s">
        <v>8</v>
      </c>
      <c r="S73" t="s">
        <v>8</v>
      </c>
      <c r="T73" t="s">
        <v>142</v>
      </c>
    </row>
    <row r="74" spans="1:20">
      <c r="A74" t="s">
        <v>730</v>
      </c>
      <c r="B74" t="s">
        <v>731</v>
      </c>
      <c r="C74" t="s">
        <v>218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104</v>
      </c>
      <c r="J74" t="s">
        <v>9</v>
      </c>
      <c r="K74" t="s">
        <v>257</v>
      </c>
      <c r="L74" t="s">
        <v>93</v>
      </c>
      <c r="M74" t="s">
        <v>414</v>
      </c>
      <c r="N74" t="s">
        <v>95</v>
      </c>
      <c r="O74" s="3">
        <f>HYPERLINK(".\.\export_data\inspection_reports\80505_islington", ".\export_data\inspection_reports\80505_islington")</f>
        <v>0</v>
      </c>
      <c r="P74" t="s">
        <v>104</v>
      </c>
      <c r="Q74" t="s">
        <v>104</v>
      </c>
      <c r="R74" t="s">
        <v>104</v>
      </c>
      <c r="S74" t="s">
        <v>104</v>
      </c>
      <c r="T74" t="s">
        <v>53</v>
      </c>
    </row>
    <row r="75" spans="1:20">
      <c r="A75" t="s">
        <v>737</v>
      </c>
      <c r="B75" t="s">
        <v>738</v>
      </c>
      <c r="C75" t="s">
        <v>218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8</v>
      </c>
      <c r="J75" t="s">
        <v>48</v>
      </c>
      <c r="K75" t="s">
        <v>744</v>
      </c>
      <c r="L75" t="s">
        <v>213</v>
      </c>
      <c r="M75" t="s">
        <v>214</v>
      </c>
      <c r="N75" t="s">
        <v>745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104</v>
      </c>
      <c r="T75" t="s">
        <v>153</v>
      </c>
    </row>
    <row r="76" spans="1:20">
      <c r="A76" t="s">
        <v>746</v>
      </c>
      <c r="B76" t="s">
        <v>747</v>
      </c>
      <c r="C76" t="s">
        <v>218</v>
      </c>
      <c r="D76" t="s">
        <v>748</v>
      </c>
      <c r="E76" t="s">
        <v>749</v>
      </c>
      <c r="F76" t="s">
        <v>750</v>
      </c>
      <c r="G76" t="s">
        <v>751</v>
      </c>
      <c r="H76" s="2" t="s">
        <v>752</v>
      </c>
      <c r="I76" t="s">
        <v>8</v>
      </c>
      <c r="J76" t="s">
        <v>48</v>
      </c>
      <c r="K76" t="s">
        <v>753</v>
      </c>
      <c r="L76" t="s">
        <v>754</v>
      </c>
      <c r="M76" t="s">
        <v>394</v>
      </c>
      <c r="N76" t="s">
        <v>755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153</v>
      </c>
    </row>
    <row r="77" spans="1:20">
      <c r="A77" t="s">
        <v>756</v>
      </c>
      <c r="B77" t="s">
        <v>757</v>
      </c>
      <c r="C77" t="s">
        <v>218</v>
      </c>
      <c r="D77" t="s">
        <v>758</v>
      </c>
      <c r="E77" t="s">
        <v>759</v>
      </c>
      <c r="F77" t="s">
        <v>760</v>
      </c>
      <c r="G77" t="s">
        <v>761</v>
      </c>
      <c r="H77" s="2" t="s">
        <v>762</v>
      </c>
      <c r="I77" t="s">
        <v>104</v>
      </c>
      <c r="J77" t="s">
        <v>9</v>
      </c>
      <c r="K77" t="s">
        <v>619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104</v>
      </c>
      <c r="Q77" t="s">
        <v>8</v>
      </c>
      <c r="R77" t="s">
        <v>104</v>
      </c>
      <c r="S77" t="s">
        <v>104</v>
      </c>
      <c r="T77" t="s">
        <v>53</v>
      </c>
    </row>
    <row r="78" spans="1:20">
      <c r="A78" t="s">
        <v>763</v>
      </c>
      <c r="B78" t="s">
        <v>764</v>
      </c>
      <c r="C78" t="s">
        <v>218</v>
      </c>
      <c r="D78" t="s">
        <v>765</v>
      </c>
      <c r="E78" t="s">
        <v>766</v>
      </c>
      <c r="F78" t="s">
        <v>767</v>
      </c>
      <c r="G78" t="s">
        <v>768</v>
      </c>
      <c r="H78" s="2" t="s">
        <v>769</v>
      </c>
      <c r="I78" t="s">
        <v>104</v>
      </c>
      <c r="J78" t="s">
        <v>9</v>
      </c>
      <c r="K78" t="s">
        <v>373</v>
      </c>
      <c r="L78" t="s">
        <v>459</v>
      </c>
      <c r="M78" t="s">
        <v>770</v>
      </c>
      <c r="N78" t="s">
        <v>461</v>
      </c>
      <c r="O78" s="3">
        <f>HYPERLINK(".\.\export_data\inspection_reports\80511_newham", ".\export_data\inspection_reports\80511_newham")</f>
        <v>0</v>
      </c>
      <c r="P78" t="s">
        <v>104</v>
      </c>
      <c r="Q78" t="s">
        <v>104</v>
      </c>
      <c r="R78" t="s">
        <v>104</v>
      </c>
      <c r="S78" t="s">
        <v>104</v>
      </c>
      <c r="T78" t="s">
        <v>53</v>
      </c>
    </row>
    <row r="79" spans="1:20">
      <c r="A79" t="s">
        <v>771</v>
      </c>
      <c r="B79" t="s">
        <v>772</v>
      </c>
      <c r="C79" t="s">
        <v>218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104</v>
      </c>
      <c r="J79" t="s">
        <v>9</v>
      </c>
      <c r="K79" t="s">
        <v>778</v>
      </c>
      <c r="L79" t="s">
        <v>440</v>
      </c>
      <c r="M79" t="s">
        <v>441</v>
      </c>
      <c r="N79" t="s">
        <v>442</v>
      </c>
      <c r="O79" s="3">
        <f>HYPERLINK(".\.\export_data\inspection_reports\80512_redbridge", ".\export_data\inspection_reports\80512_redbridge")</f>
        <v>0</v>
      </c>
      <c r="P79" t="s">
        <v>104</v>
      </c>
      <c r="Q79" t="s">
        <v>104</v>
      </c>
      <c r="R79" t="s">
        <v>104</v>
      </c>
      <c r="S79" t="s">
        <v>104</v>
      </c>
      <c r="T79" t="s">
        <v>490</v>
      </c>
    </row>
    <row r="80" spans="1:20">
      <c r="A80" t="s">
        <v>779</v>
      </c>
      <c r="B80" t="s">
        <v>780</v>
      </c>
      <c r="C80" t="s">
        <v>218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104</v>
      </c>
      <c r="J80" t="s">
        <v>9</v>
      </c>
      <c r="K80" t="s">
        <v>138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104</v>
      </c>
      <c r="Q80" t="s">
        <v>8</v>
      </c>
      <c r="R80" t="s">
        <v>104</v>
      </c>
      <c r="S80" t="s">
        <v>104</v>
      </c>
      <c r="T80" t="s">
        <v>142</v>
      </c>
    </row>
    <row r="81" spans="1:20">
      <c r="A81" t="s">
        <v>786</v>
      </c>
      <c r="B81" t="s">
        <v>787</v>
      </c>
      <c r="C81" t="s">
        <v>218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744</v>
      </c>
      <c r="L81" t="s">
        <v>279</v>
      </c>
      <c r="M81" t="s">
        <v>280</v>
      </c>
      <c r="N81" t="s">
        <v>281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153</v>
      </c>
    </row>
    <row r="82" spans="1:20">
      <c r="A82" t="s">
        <v>793</v>
      </c>
      <c r="B82" t="s">
        <v>794</v>
      </c>
      <c r="C82" t="s">
        <v>218</v>
      </c>
      <c r="D82" t="s">
        <v>795</v>
      </c>
      <c r="E82" t="s">
        <v>796</v>
      </c>
      <c r="F82" t="s">
        <v>797</v>
      </c>
      <c r="G82" t="s">
        <v>798</v>
      </c>
      <c r="H82" s="2" t="s">
        <v>799</v>
      </c>
      <c r="I82" t="s">
        <v>8</v>
      </c>
      <c r="J82" t="s">
        <v>9</v>
      </c>
      <c r="K82" t="s">
        <v>62</v>
      </c>
      <c r="L82" t="s">
        <v>800</v>
      </c>
      <c r="M82" t="s">
        <v>151</v>
      </c>
      <c r="N82" t="s">
        <v>152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801</v>
      </c>
      <c r="B83" t="s">
        <v>802</v>
      </c>
      <c r="C83" t="s">
        <v>218</v>
      </c>
      <c r="D83" t="s">
        <v>803</v>
      </c>
      <c r="E83" t="s">
        <v>804</v>
      </c>
      <c r="F83" t="s">
        <v>805</v>
      </c>
      <c r="G83" t="s">
        <v>806</v>
      </c>
      <c r="H83" s="2" t="s">
        <v>807</v>
      </c>
      <c r="I83" t="s">
        <v>104</v>
      </c>
      <c r="J83" t="s">
        <v>9</v>
      </c>
      <c r="K83" t="s">
        <v>24</v>
      </c>
      <c r="L83" t="s">
        <v>808</v>
      </c>
      <c r="M83" t="s">
        <v>809</v>
      </c>
      <c r="N83" t="s">
        <v>810</v>
      </c>
      <c r="O83" s="3">
        <f>HYPERLINK(".\.\export_data\inspection_reports\80516_tower hamlets", ".\export_data\inspection_reports\80516_tower hamlets")</f>
        <v>0</v>
      </c>
      <c r="P83" t="s">
        <v>104</v>
      </c>
      <c r="Q83" t="s">
        <v>8</v>
      </c>
      <c r="R83" t="s">
        <v>8</v>
      </c>
      <c r="S83" t="s">
        <v>104</v>
      </c>
      <c r="T83" t="s">
        <v>28</v>
      </c>
    </row>
    <row r="84" spans="1:20">
      <c r="A84" t="s">
        <v>811</v>
      </c>
      <c r="B84" t="s">
        <v>812</v>
      </c>
      <c r="C84" t="s">
        <v>218</v>
      </c>
      <c r="D84" t="s">
        <v>813</v>
      </c>
      <c r="E84" t="s">
        <v>814</v>
      </c>
      <c r="F84" t="s">
        <v>815</v>
      </c>
      <c r="G84" t="s">
        <v>816</v>
      </c>
      <c r="H84" s="2" t="s">
        <v>817</v>
      </c>
      <c r="I84" t="s">
        <v>8</v>
      </c>
      <c r="J84" t="s">
        <v>9</v>
      </c>
      <c r="K84" t="s">
        <v>818</v>
      </c>
      <c r="L84" t="s">
        <v>507</v>
      </c>
      <c r="M84" t="s">
        <v>673</v>
      </c>
      <c r="N84" t="s">
        <v>674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104</v>
      </c>
      <c r="S84" t="s">
        <v>8</v>
      </c>
      <c r="T84" t="s">
        <v>119</v>
      </c>
    </row>
    <row r="85" spans="1:20">
      <c r="A85" t="s">
        <v>819</v>
      </c>
      <c r="B85" t="s">
        <v>820</v>
      </c>
      <c r="C85" t="s">
        <v>218</v>
      </c>
      <c r="D85" t="s">
        <v>821</v>
      </c>
      <c r="E85" t="s">
        <v>822</v>
      </c>
      <c r="F85" t="s">
        <v>823</v>
      </c>
      <c r="G85" t="s">
        <v>824</v>
      </c>
      <c r="H85" s="2" t="s">
        <v>825</v>
      </c>
      <c r="I85" t="s">
        <v>104</v>
      </c>
      <c r="J85" t="s">
        <v>9</v>
      </c>
      <c r="K85" t="s">
        <v>608</v>
      </c>
      <c r="L85" t="s">
        <v>498</v>
      </c>
      <c r="M85" t="s">
        <v>826</v>
      </c>
      <c r="N85" t="s">
        <v>281</v>
      </c>
      <c r="O85" s="3">
        <f>HYPERLINK(".\.\export_data\inspection_reports\80518_wandsworth", ".\export_data\inspection_reports\80518_wandsworth")</f>
        <v>0</v>
      </c>
      <c r="P85" t="s">
        <v>104</v>
      </c>
      <c r="Q85" t="s">
        <v>104</v>
      </c>
      <c r="R85" t="s">
        <v>104</v>
      </c>
      <c r="S85" t="s">
        <v>104</v>
      </c>
      <c r="T85" t="s">
        <v>15</v>
      </c>
    </row>
    <row r="86" spans="1:20">
      <c r="A86" t="s">
        <v>827</v>
      </c>
      <c r="B86" t="s">
        <v>828</v>
      </c>
      <c r="C86" t="s">
        <v>218</v>
      </c>
      <c r="D86" t="s">
        <v>829</v>
      </c>
      <c r="E86" t="s">
        <v>830</v>
      </c>
      <c r="F86" t="s">
        <v>831</v>
      </c>
      <c r="G86" t="s">
        <v>832</v>
      </c>
      <c r="H86" s="2" t="s">
        <v>833</v>
      </c>
      <c r="I86" t="s">
        <v>104</v>
      </c>
      <c r="J86" t="s">
        <v>9</v>
      </c>
      <c r="K86" t="s">
        <v>105</v>
      </c>
      <c r="L86" t="s">
        <v>808</v>
      </c>
      <c r="M86" t="s">
        <v>809</v>
      </c>
      <c r="N86" t="s">
        <v>810</v>
      </c>
      <c r="O86" s="3">
        <f>HYPERLINK(".\.\export_data\inspection_reports\80519_westminster", ".\export_data\inspection_reports\80519_westminster")</f>
        <v>0</v>
      </c>
      <c r="P86" t="s">
        <v>104</v>
      </c>
      <c r="Q86" t="s">
        <v>104</v>
      </c>
      <c r="R86" t="s">
        <v>104</v>
      </c>
      <c r="S86" t="s">
        <v>104</v>
      </c>
      <c r="T86" t="s">
        <v>53</v>
      </c>
    </row>
    <row r="87" spans="1:20">
      <c r="A87" t="s">
        <v>834</v>
      </c>
      <c r="B87" t="s">
        <v>835</v>
      </c>
      <c r="C87" t="s">
        <v>31</v>
      </c>
      <c r="D87" t="s">
        <v>836</v>
      </c>
      <c r="E87" t="s">
        <v>837</v>
      </c>
      <c r="F87" t="s">
        <v>838</v>
      </c>
      <c r="G87" t="s">
        <v>839</v>
      </c>
      <c r="H87" s="2" t="s">
        <v>840</v>
      </c>
      <c r="I87" t="s">
        <v>8</v>
      </c>
      <c r="J87" t="s">
        <v>48</v>
      </c>
      <c r="K87" t="s">
        <v>150</v>
      </c>
      <c r="L87" t="s">
        <v>841</v>
      </c>
      <c r="M87" t="s">
        <v>842</v>
      </c>
      <c r="N87" t="s">
        <v>745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153</v>
      </c>
    </row>
    <row r="88" spans="1:20">
      <c r="A88" t="s">
        <v>843</v>
      </c>
      <c r="B88" t="s">
        <v>844</v>
      </c>
      <c r="C88" t="s">
        <v>56</v>
      </c>
      <c r="D88" t="s">
        <v>845</v>
      </c>
      <c r="E88" t="s">
        <v>846</v>
      </c>
      <c r="F88" t="s">
        <v>847</v>
      </c>
      <c r="G88" t="s">
        <v>848</v>
      </c>
      <c r="H88" s="2" t="s">
        <v>849</v>
      </c>
      <c r="I88" t="s">
        <v>104</v>
      </c>
      <c r="J88" t="s">
        <v>48</v>
      </c>
      <c r="K88" t="s">
        <v>278</v>
      </c>
      <c r="L88" t="s">
        <v>850</v>
      </c>
      <c r="M88" t="s">
        <v>851</v>
      </c>
      <c r="N88" t="s">
        <v>852</v>
      </c>
      <c r="O88" s="3">
        <f>HYPERLINK(".\.\export_data\inspection_reports\80521_manchester", ".\export_data\inspection_reports\80521_manchester")</f>
        <v>0</v>
      </c>
      <c r="P88" t="s">
        <v>104</v>
      </c>
      <c r="Q88" t="s">
        <v>8</v>
      </c>
      <c r="R88" t="s">
        <v>104</v>
      </c>
      <c r="S88" t="s">
        <v>104</v>
      </c>
      <c r="T88" t="s">
        <v>15</v>
      </c>
    </row>
    <row r="89" spans="1:20">
      <c r="A89" t="s">
        <v>853</v>
      </c>
      <c r="B89" t="s">
        <v>854</v>
      </c>
      <c r="C89" t="s">
        <v>855</v>
      </c>
      <c r="D89" t="s">
        <v>856</v>
      </c>
      <c r="E89" t="s">
        <v>857</v>
      </c>
      <c r="F89" t="s">
        <v>858</v>
      </c>
      <c r="G89" t="s">
        <v>859</v>
      </c>
      <c r="H89" s="2" t="s">
        <v>860</v>
      </c>
      <c r="I89" t="s">
        <v>8</v>
      </c>
      <c r="J89" t="s">
        <v>48</v>
      </c>
      <c r="K89" t="s">
        <v>24</v>
      </c>
      <c r="L89" t="s">
        <v>861</v>
      </c>
      <c r="M89" t="s">
        <v>862</v>
      </c>
      <c r="N89" t="s">
        <v>863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864</v>
      </c>
      <c r="B90" t="s">
        <v>865</v>
      </c>
      <c r="C90" t="s">
        <v>294</v>
      </c>
      <c r="D90" t="s">
        <v>866</v>
      </c>
      <c r="E90" t="s">
        <v>867</v>
      </c>
      <c r="F90" t="s">
        <v>868</v>
      </c>
      <c r="G90" t="s">
        <v>869</v>
      </c>
      <c r="H90" s="2" t="s">
        <v>870</v>
      </c>
      <c r="I90" t="s">
        <v>14</v>
      </c>
      <c r="J90" t="s">
        <v>48</v>
      </c>
      <c r="K90" t="s">
        <v>381</v>
      </c>
      <c r="L90" t="s">
        <v>871</v>
      </c>
      <c r="M90" t="s">
        <v>872</v>
      </c>
      <c r="N90" t="s">
        <v>873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153</v>
      </c>
    </row>
    <row r="91" spans="1:20">
      <c r="A91" t="s">
        <v>874</v>
      </c>
      <c r="B91" t="s">
        <v>875</v>
      </c>
      <c r="C91" t="s">
        <v>98</v>
      </c>
      <c r="D91" t="s">
        <v>876</v>
      </c>
      <c r="E91" t="s">
        <v>877</v>
      </c>
      <c r="F91" t="s">
        <v>878</v>
      </c>
      <c r="G91" t="s">
        <v>879</v>
      </c>
      <c r="H91" s="2" t="s">
        <v>880</v>
      </c>
      <c r="I91" t="s">
        <v>8</v>
      </c>
      <c r="J91" t="s">
        <v>48</v>
      </c>
      <c r="K91" t="s">
        <v>778</v>
      </c>
      <c r="L91" t="s">
        <v>881</v>
      </c>
      <c r="M91" t="s">
        <v>882</v>
      </c>
      <c r="N91" t="s">
        <v>883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104</v>
      </c>
      <c r="T91" t="s">
        <v>490</v>
      </c>
    </row>
    <row r="92" spans="1:20">
      <c r="A92" t="s">
        <v>884</v>
      </c>
      <c r="B92" t="s">
        <v>885</v>
      </c>
      <c r="C92" t="s">
        <v>294</v>
      </c>
      <c r="D92" t="s">
        <v>886</v>
      </c>
      <c r="E92" t="s">
        <v>887</v>
      </c>
      <c r="F92" t="s">
        <v>888</v>
      </c>
      <c r="G92" t="s">
        <v>889</v>
      </c>
      <c r="H92" s="2" t="s">
        <v>890</v>
      </c>
      <c r="I92" t="s">
        <v>8</v>
      </c>
      <c r="J92" t="s">
        <v>9</v>
      </c>
      <c r="K92" t="s">
        <v>246</v>
      </c>
      <c r="L92" t="s">
        <v>891</v>
      </c>
      <c r="M92" t="s">
        <v>892</v>
      </c>
      <c r="N92" t="s">
        <v>893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104</v>
      </c>
      <c r="R92" t="s">
        <v>8</v>
      </c>
      <c r="S92" t="s">
        <v>14</v>
      </c>
      <c r="T92" t="s">
        <v>53</v>
      </c>
    </row>
    <row r="93" spans="1:20">
      <c r="A93" t="s">
        <v>894</v>
      </c>
      <c r="B93" t="s">
        <v>895</v>
      </c>
      <c r="C93" t="s">
        <v>31</v>
      </c>
      <c r="D93" t="s">
        <v>896</v>
      </c>
      <c r="E93" t="s">
        <v>897</v>
      </c>
      <c r="F93" t="s">
        <v>898</v>
      </c>
      <c r="G93" t="s">
        <v>899</v>
      </c>
      <c r="H93" s="2" t="s">
        <v>900</v>
      </c>
      <c r="I93" t="s">
        <v>104</v>
      </c>
      <c r="J93" t="s">
        <v>9</v>
      </c>
      <c r="K93" t="s">
        <v>901</v>
      </c>
      <c r="L93" t="s">
        <v>902</v>
      </c>
      <c r="M93" t="s">
        <v>903</v>
      </c>
      <c r="N93" t="s">
        <v>281</v>
      </c>
      <c r="O93" s="3">
        <f>HYPERLINK(".\.\export_data\inspection_reports\80418_norfolk", ".\export_data\inspection_reports\80418_norfolk")</f>
        <v>0</v>
      </c>
      <c r="P93" t="s">
        <v>104</v>
      </c>
      <c r="Q93" t="s">
        <v>104</v>
      </c>
      <c r="R93" t="s">
        <v>104</v>
      </c>
      <c r="S93" t="s">
        <v>104</v>
      </c>
      <c r="T93" t="s">
        <v>490</v>
      </c>
    </row>
    <row r="94" spans="1:20">
      <c r="A94" t="s">
        <v>904</v>
      </c>
      <c r="B94" t="s">
        <v>905</v>
      </c>
      <c r="C94" t="s">
        <v>2</v>
      </c>
      <c r="D94" t="s">
        <v>906</v>
      </c>
      <c r="E94" t="s">
        <v>907</v>
      </c>
      <c r="F94" t="s">
        <v>908</v>
      </c>
      <c r="G94" t="s">
        <v>909</v>
      </c>
      <c r="H94" s="2" t="s">
        <v>910</v>
      </c>
      <c r="I94" t="s">
        <v>8</v>
      </c>
      <c r="J94" t="s">
        <v>48</v>
      </c>
      <c r="K94" t="s">
        <v>373</v>
      </c>
      <c r="L94" t="s">
        <v>37</v>
      </c>
      <c r="M94" t="s">
        <v>911</v>
      </c>
      <c r="N94" t="s">
        <v>912</v>
      </c>
      <c r="O94" s="3">
        <f>HYPERLINK(".\.\export_data\inspection_reports\80526_north east lincolnshire", ".\export_data\inspection_reports\80526_north east lincolnshire")</f>
        <v>0</v>
      </c>
      <c r="P94" t="s">
        <v>104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913</v>
      </c>
      <c r="B95" t="s">
        <v>914</v>
      </c>
      <c r="C95" t="s">
        <v>2</v>
      </c>
      <c r="D95" t="s">
        <v>915</v>
      </c>
      <c r="E95" t="s">
        <v>916</v>
      </c>
      <c r="F95" t="s">
        <v>917</v>
      </c>
      <c r="G95" t="s">
        <v>918</v>
      </c>
      <c r="H95" s="2" t="s">
        <v>919</v>
      </c>
      <c r="I95" t="s">
        <v>104</v>
      </c>
      <c r="J95" t="s">
        <v>9</v>
      </c>
      <c r="K95" t="s">
        <v>506</v>
      </c>
      <c r="L95" t="s">
        <v>920</v>
      </c>
      <c r="M95" t="s">
        <v>921</v>
      </c>
      <c r="N95" t="s">
        <v>922</v>
      </c>
      <c r="O95" s="3">
        <f>HYPERLINK(".\.\export_data\inspection_reports\80527_north lincolnshire", ".\export_data\inspection_reports\80527_north lincolnshire")</f>
        <v>0</v>
      </c>
      <c r="P95" t="s">
        <v>104</v>
      </c>
      <c r="Q95" t="s">
        <v>104</v>
      </c>
      <c r="R95" t="s">
        <v>104</v>
      </c>
      <c r="S95" t="s">
        <v>8</v>
      </c>
      <c r="T95" t="s">
        <v>28</v>
      </c>
    </row>
    <row r="96" spans="1:20">
      <c r="A96" t="s">
        <v>923</v>
      </c>
      <c r="B96" t="s">
        <v>924</v>
      </c>
      <c r="C96" t="s">
        <v>305</v>
      </c>
      <c r="D96" t="s">
        <v>925</v>
      </c>
      <c r="E96" t="s">
        <v>926</v>
      </c>
      <c r="F96" t="s">
        <v>927</v>
      </c>
      <c r="G96" t="s">
        <v>928</v>
      </c>
      <c r="H96" s="2" t="s">
        <v>929</v>
      </c>
      <c r="I96" t="s">
        <v>572</v>
      </c>
      <c r="J96" t="s">
        <v>48</v>
      </c>
      <c r="K96" t="s">
        <v>930</v>
      </c>
      <c r="L96" t="s">
        <v>573</v>
      </c>
      <c r="M96" t="s">
        <v>574</v>
      </c>
      <c r="N96" t="s">
        <v>575</v>
      </c>
      <c r="O96" s="3">
        <f>HYPERLINK(".\.\export_data\inspection_reports\2637539_north northamptonshire", ".\export_data\inspection_reports\2637539_north northamptonshire")</f>
        <v>0</v>
      </c>
      <c r="P96" t="s">
        <v>104</v>
      </c>
      <c r="Q96" t="s">
        <v>8</v>
      </c>
      <c r="R96" t="s">
        <v>8</v>
      </c>
      <c r="S96" t="s">
        <v>8</v>
      </c>
      <c r="T96" t="s">
        <v>119</v>
      </c>
    </row>
    <row r="97" spans="1:20">
      <c r="A97" t="s">
        <v>931</v>
      </c>
      <c r="B97" t="s">
        <v>932</v>
      </c>
      <c r="C97" t="s">
        <v>18</v>
      </c>
      <c r="D97" t="s">
        <v>933</v>
      </c>
      <c r="E97" t="s">
        <v>934</v>
      </c>
      <c r="F97" t="s">
        <v>935</v>
      </c>
      <c r="G97" t="s">
        <v>936</v>
      </c>
      <c r="H97" s="2" t="s">
        <v>937</v>
      </c>
      <c r="I97" t="s">
        <v>14</v>
      </c>
      <c r="J97" t="s">
        <v>48</v>
      </c>
      <c r="K97" t="s">
        <v>10</v>
      </c>
      <c r="L97" t="s">
        <v>871</v>
      </c>
      <c r="M97" t="s">
        <v>872</v>
      </c>
      <c r="N97" t="s">
        <v>938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939</v>
      </c>
      <c r="B98" t="s">
        <v>940</v>
      </c>
      <c r="C98" t="s">
        <v>294</v>
      </c>
      <c r="D98" t="s">
        <v>941</v>
      </c>
      <c r="E98" t="s">
        <v>942</v>
      </c>
      <c r="F98" t="s">
        <v>943</v>
      </c>
      <c r="G98" t="s">
        <v>944</v>
      </c>
      <c r="H98" s="2" t="s">
        <v>945</v>
      </c>
      <c r="I98" t="s">
        <v>104</v>
      </c>
      <c r="J98" t="s">
        <v>9</v>
      </c>
      <c r="K98" t="s">
        <v>373</v>
      </c>
      <c r="L98" t="s">
        <v>808</v>
      </c>
      <c r="M98" t="s">
        <v>809</v>
      </c>
      <c r="N98" t="s">
        <v>810</v>
      </c>
      <c r="O98" s="3">
        <f>HYPERLINK(".\.\export_data\inspection_reports\80529_north tyneside", ".\export_data\inspection_reports\80529_north tyneside")</f>
        <v>0</v>
      </c>
      <c r="P98" t="s">
        <v>104</v>
      </c>
      <c r="Q98" t="s">
        <v>104</v>
      </c>
      <c r="R98" t="s">
        <v>104</v>
      </c>
      <c r="S98" t="s">
        <v>104</v>
      </c>
      <c r="T98" t="s">
        <v>53</v>
      </c>
    </row>
    <row r="99" spans="1:20">
      <c r="A99" t="s">
        <v>946</v>
      </c>
      <c r="B99" t="s">
        <v>947</v>
      </c>
      <c r="C99" t="s">
        <v>2</v>
      </c>
      <c r="D99" t="s">
        <v>948</v>
      </c>
      <c r="E99" t="s">
        <v>949</v>
      </c>
      <c r="F99" t="s">
        <v>950</v>
      </c>
      <c r="G99" t="s">
        <v>951</v>
      </c>
      <c r="H99" s="2" t="s">
        <v>952</v>
      </c>
      <c r="I99" t="s">
        <v>104</v>
      </c>
      <c r="J99" t="s">
        <v>9</v>
      </c>
      <c r="K99" t="s">
        <v>953</v>
      </c>
      <c r="L99" t="s">
        <v>954</v>
      </c>
      <c r="M99" t="s">
        <v>955</v>
      </c>
      <c r="N99" t="s">
        <v>956</v>
      </c>
      <c r="O99" s="3">
        <f>HYPERLINK(".\.\export_data\inspection_reports\80530_north yorkshire", ".\export_data\inspection_reports\80530_north yorkshire")</f>
        <v>0</v>
      </c>
      <c r="P99" t="s">
        <v>104</v>
      </c>
      <c r="Q99" t="s">
        <v>104</v>
      </c>
      <c r="R99" t="s">
        <v>104</v>
      </c>
      <c r="S99" t="s">
        <v>104</v>
      </c>
      <c r="T99" t="s">
        <v>119</v>
      </c>
    </row>
    <row r="100" spans="1:20">
      <c r="A100" t="s">
        <v>957</v>
      </c>
      <c r="B100" t="s">
        <v>958</v>
      </c>
      <c r="C100" t="s">
        <v>294</v>
      </c>
      <c r="D100" t="s">
        <v>959</v>
      </c>
      <c r="E100" t="s">
        <v>960</v>
      </c>
      <c r="F100" t="s">
        <v>961</v>
      </c>
      <c r="G100" t="s">
        <v>962</v>
      </c>
      <c r="H100" s="2" t="s">
        <v>963</v>
      </c>
      <c r="I100" t="s">
        <v>104</v>
      </c>
      <c r="J100" t="s">
        <v>9</v>
      </c>
      <c r="K100" t="s">
        <v>964</v>
      </c>
      <c r="L100" t="s">
        <v>965</v>
      </c>
      <c r="M100" t="s">
        <v>431</v>
      </c>
      <c r="N100" t="s">
        <v>432</v>
      </c>
      <c r="O100" s="3">
        <f>HYPERLINK(".\.\export_data\inspection_reports\80532_northumberland", ".\export_data\inspection_reports\80532_northumberland")</f>
        <v>0</v>
      </c>
      <c r="P100" t="s">
        <v>104</v>
      </c>
      <c r="Q100" t="s">
        <v>104</v>
      </c>
      <c r="R100" t="s">
        <v>8</v>
      </c>
      <c r="S100" t="s">
        <v>8</v>
      </c>
      <c r="T100" t="s">
        <v>490</v>
      </c>
    </row>
    <row r="101" spans="1:20">
      <c r="A101" t="s">
        <v>966</v>
      </c>
      <c r="B101" t="s">
        <v>967</v>
      </c>
      <c r="C101" t="s">
        <v>305</v>
      </c>
      <c r="D101" t="s">
        <v>968</v>
      </c>
      <c r="E101" t="s">
        <v>969</v>
      </c>
      <c r="F101" t="s">
        <v>970</v>
      </c>
      <c r="G101" t="s">
        <v>971</v>
      </c>
      <c r="H101" s="2" t="s">
        <v>972</v>
      </c>
      <c r="I101" t="s">
        <v>190</v>
      </c>
      <c r="J101" t="s">
        <v>116</v>
      </c>
      <c r="K101" t="s">
        <v>964</v>
      </c>
      <c r="N101" t="s">
        <v>973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490</v>
      </c>
    </row>
    <row r="102" spans="1:20">
      <c r="A102" t="s">
        <v>974</v>
      </c>
      <c r="B102" t="s">
        <v>975</v>
      </c>
      <c r="C102" t="s">
        <v>305</v>
      </c>
      <c r="D102" t="s">
        <v>976</v>
      </c>
      <c r="E102" t="s">
        <v>977</v>
      </c>
      <c r="F102" t="s">
        <v>978</v>
      </c>
      <c r="G102" t="s">
        <v>979</v>
      </c>
      <c r="H102" s="2" t="s">
        <v>980</v>
      </c>
      <c r="I102" t="s">
        <v>8</v>
      </c>
      <c r="J102" t="s">
        <v>9</v>
      </c>
      <c r="K102" t="s">
        <v>753</v>
      </c>
      <c r="L102" t="s">
        <v>965</v>
      </c>
      <c r="M102" t="s">
        <v>431</v>
      </c>
      <c r="N102" t="s">
        <v>432</v>
      </c>
      <c r="O102" s="3">
        <f>HYPERLINK(".\.\export_data\inspection_reports\80534_nottinghamshire", ".\export_data\inspection_reports\80534_nottinghamshire")</f>
        <v>0</v>
      </c>
      <c r="P102" t="s">
        <v>104</v>
      </c>
      <c r="Q102" t="s">
        <v>8</v>
      </c>
      <c r="R102" t="s">
        <v>8</v>
      </c>
      <c r="S102" t="s">
        <v>8</v>
      </c>
      <c r="T102" t="s">
        <v>153</v>
      </c>
    </row>
    <row r="103" spans="1:20">
      <c r="A103" t="s">
        <v>981</v>
      </c>
      <c r="B103" t="s">
        <v>982</v>
      </c>
      <c r="C103" t="s">
        <v>56</v>
      </c>
      <c r="D103" t="s">
        <v>983</v>
      </c>
      <c r="E103" t="s">
        <v>984</v>
      </c>
      <c r="F103" t="s">
        <v>985</v>
      </c>
      <c r="G103" t="s">
        <v>986</v>
      </c>
      <c r="H103" s="2" t="s">
        <v>987</v>
      </c>
      <c r="I103" t="s">
        <v>8</v>
      </c>
      <c r="J103" t="s">
        <v>48</v>
      </c>
      <c r="K103" t="s">
        <v>515</v>
      </c>
      <c r="L103" t="s">
        <v>430</v>
      </c>
      <c r="M103" t="s">
        <v>431</v>
      </c>
      <c r="N103" t="s">
        <v>432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988</v>
      </c>
      <c r="B104" t="s">
        <v>989</v>
      </c>
      <c r="C104" t="s">
        <v>98</v>
      </c>
      <c r="D104" t="s">
        <v>990</v>
      </c>
      <c r="E104" t="s">
        <v>991</v>
      </c>
      <c r="F104" t="s">
        <v>992</v>
      </c>
      <c r="G104" t="s">
        <v>993</v>
      </c>
      <c r="H104" s="2" t="s">
        <v>994</v>
      </c>
      <c r="I104" t="s">
        <v>8</v>
      </c>
      <c r="J104" t="s">
        <v>48</v>
      </c>
      <c r="K104" t="s">
        <v>753</v>
      </c>
      <c r="L104" t="s">
        <v>995</v>
      </c>
      <c r="M104" t="s">
        <v>162</v>
      </c>
      <c r="N104" t="s">
        <v>996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153</v>
      </c>
    </row>
    <row r="105" spans="1:20">
      <c r="A105" t="s">
        <v>997</v>
      </c>
      <c r="B105" t="s">
        <v>998</v>
      </c>
      <c r="C105" t="s">
        <v>31</v>
      </c>
      <c r="D105" t="s">
        <v>999</v>
      </c>
      <c r="E105" t="s">
        <v>1000</v>
      </c>
      <c r="F105" t="s">
        <v>1001</v>
      </c>
      <c r="G105" t="s">
        <v>1002</v>
      </c>
      <c r="H105" s="2" t="s">
        <v>1003</v>
      </c>
      <c r="I105" t="s">
        <v>190</v>
      </c>
      <c r="J105" t="s">
        <v>48</v>
      </c>
      <c r="K105" t="s">
        <v>1004</v>
      </c>
      <c r="L105" t="s">
        <v>1005</v>
      </c>
      <c r="M105" t="s">
        <v>1006</v>
      </c>
      <c r="N105" t="s">
        <v>1007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490</v>
      </c>
    </row>
    <row r="106" spans="1:20">
      <c r="A106" t="s">
        <v>1008</v>
      </c>
      <c r="B106" t="s">
        <v>1009</v>
      </c>
      <c r="C106" t="s">
        <v>18</v>
      </c>
      <c r="D106" t="s">
        <v>1010</v>
      </c>
      <c r="E106" t="s">
        <v>1011</v>
      </c>
      <c r="F106" t="s">
        <v>1012</v>
      </c>
      <c r="G106" t="s">
        <v>1013</v>
      </c>
      <c r="H106" s="2" t="s">
        <v>1014</v>
      </c>
      <c r="I106" t="s">
        <v>14</v>
      </c>
      <c r="J106" t="s">
        <v>48</v>
      </c>
      <c r="K106" t="s">
        <v>127</v>
      </c>
      <c r="L106" t="s">
        <v>1015</v>
      </c>
      <c r="M106" t="s">
        <v>1016</v>
      </c>
      <c r="N106" t="s">
        <v>1017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1018</v>
      </c>
      <c r="B107" t="s">
        <v>1019</v>
      </c>
      <c r="C107" t="s">
        <v>98</v>
      </c>
      <c r="D107" t="s">
        <v>1020</v>
      </c>
      <c r="E107" t="s">
        <v>1021</v>
      </c>
      <c r="F107" t="s">
        <v>1022</v>
      </c>
      <c r="G107" t="s">
        <v>1023</v>
      </c>
      <c r="H107" s="2" t="s">
        <v>1024</v>
      </c>
      <c r="I107" t="s">
        <v>8</v>
      </c>
      <c r="J107" t="s">
        <v>9</v>
      </c>
      <c r="K107" t="s">
        <v>224</v>
      </c>
      <c r="L107" t="s">
        <v>1025</v>
      </c>
      <c r="M107" t="s">
        <v>1026</v>
      </c>
      <c r="N107" t="s">
        <v>1027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104</v>
      </c>
      <c r="R107" t="s">
        <v>8</v>
      </c>
      <c r="S107" t="s">
        <v>14</v>
      </c>
      <c r="T107" t="s">
        <v>228</v>
      </c>
    </row>
    <row r="108" spans="1:20">
      <c r="A108" t="s">
        <v>1028</v>
      </c>
      <c r="B108" t="s">
        <v>1029</v>
      </c>
      <c r="C108" t="s">
        <v>98</v>
      </c>
      <c r="D108" t="s">
        <v>1030</v>
      </c>
      <c r="E108" t="s">
        <v>1031</v>
      </c>
      <c r="F108" t="s">
        <v>1032</v>
      </c>
      <c r="G108" t="s">
        <v>1033</v>
      </c>
      <c r="H108" s="2" t="s">
        <v>1034</v>
      </c>
      <c r="I108" t="s">
        <v>14</v>
      </c>
      <c r="J108" t="s">
        <v>48</v>
      </c>
      <c r="K108" t="s">
        <v>224</v>
      </c>
      <c r="L108" t="s">
        <v>553</v>
      </c>
      <c r="M108" t="s">
        <v>554</v>
      </c>
      <c r="N108" t="s">
        <v>432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228</v>
      </c>
    </row>
    <row r="109" spans="1:20">
      <c r="A109" t="s">
        <v>1035</v>
      </c>
      <c r="B109" t="s">
        <v>1036</v>
      </c>
      <c r="C109" t="s">
        <v>294</v>
      </c>
      <c r="D109" t="s">
        <v>1037</v>
      </c>
      <c r="E109" t="s">
        <v>1038</v>
      </c>
      <c r="F109" t="s">
        <v>1039</v>
      </c>
      <c r="G109" t="s">
        <v>1040</v>
      </c>
      <c r="H109" s="2" t="s">
        <v>1041</v>
      </c>
      <c r="I109" t="s">
        <v>8</v>
      </c>
      <c r="J109" t="s">
        <v>48</v>
      </c>
      <c r="K109" t="s">
        <v>246</v>
      </c>
      <c r="L109" t="s">
        <v>1042</v>
      </c>
      <c r="M109" t="s">
        <v>107</v>
      </c>
      <c r="N109" t="s">
        <v>108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1043</v>
      </c>
      <c r="B110" t="s">
        <v>1044</v>
      </c>
      <c r="C110" t="s">
        <v>56</v>
      </c>
      <c r="D110" t="s">
        <v>1045</v>
      </c>
      <c r="E110" t="s">
        <v>1046</v>
      </c>
      <c r="F110" t="s">
        <v>1047</v>
      </c>
      <c r="G110" t="s">
        <v>1048</v>
      </c>
      <c r="H110" s="2" t="s">
        <v>1049</v>
      </c>
      <c r="I110" t="s">
        <v>14</v>
      </c>
      <c r="J110" t="s">
        <v>48</v>
      </c>
      <c r="K110" t="s">
        <v>85</v>
      </c>
      <c r="L110" t="s">
        <v>469</v>
      </c>
      <c r="M110" t="s">
        <v>1050</v>
      </c>
      <c r="N110" t="s">
        <v>1051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1052</v>
      </c>
      <c r="B111" t="s">
        <v>1053</v>
      </c>
      <c r="C111" t="s">
        <v>2</v>
      </c>
      <c r="D111" t="s">
        <v>1054</v>
      </c>
      <c r="E111" t="s">
        <v>1055</v>
      </c>
      <c r="F111" t="s">
        <v>1056</v>
      </c>
      <c r="G111" t="s">
        <v>1057</v>
      </c>
      <c r="H111" s="2" t="s">
        <v>1058</v>
      </c>
      <c r="I111" t="s">
        <v>104</v>
      </c>
      <c r="J111" t="s">
        <v>9</v>
      </c>
      <c r="K111" t="s">
        <v>212</v>
      </c>
      <c r="L111" t="s">
        <v>487</v>
      </c>
      <c r="M111" t="s">
        <v>488</v>
      </c>
      <c r="N111" t="s">
        <v>1059</v>
      </c>
      <c r="O111" s="3">
        <f>HYPERLINK(".\.\export_data\inspection_reports\80543_rotherham", ".\export_data\inspection_reports\80543_rotherham")</f>
        <v>0</v>
      </c>
      <c r="P111" t="s">
        <v>104</v>
      </c>
      <c r="Q111" t="s">
        <v>104</v>
      </c>
      <c r="R111" t="s">
        <v>104</v>
      </c>
      <c r="S111" t="s">
        <v>8</v>
      </c>
      <c r="T111" t="s">
        <v>153</v>
      </c>
    </row>
    <row r="112" spans="1:20">
      <c r="A112" t="s">
        <v>1060</v>
      </c>
      <c r="B112" t="s">
        <v>1061</v>
      </c>
      <c r="C112" t="s">
        <v>218</v>
      </c>
      <c r="D112" t="s">
        <v>1062</v>
      </c>
      <c r="E112" t="s">
        <v>1063</v>
      </c>
      <c r="F112" t="s">
        <v>1064</v>
      </c>
      <c r="G112" t="s">
        <v>1065</v>
      </c>
      <c r="H112" s="2" t="s">
        <v>1066</v>
      </c>
      <c r="I112" t="s">
        <v>104</v>
      </c>
      <c r="J112" t="s">
        <v>9</v>
      </c>
      <c r="K112" t="s">
        <v>138</v>
      </c>
      <c r="L112" t="s">
        <v>808</v>
      </c>
      <c r="M112" t="s">
        <v>809</v>
      </c>
      <c r="N112" t="s">
        <v>810</v>
      </c>
      <c r="O112" s="3">
        <f>HYPERLINK(".\.\export_data\inspection_reports\80544_kensington and chelsea", ".\export_data\inspection_reports\80544_kensington and chelsea")</f>
        <v>0</v>
      </c>
      <c r="P112" t="s">
        <v>104</v>
      </c>
      <c r="Q112" t="s">
        <v>104</v>
      </c>
      <c r="R112" t="s">
        <v>8</v>
      </c>
      <c r="S112" t="s">
        <v>104</v>
      </c>
      <c r="T112" t="s">
        <v>142</v>
      </c>
    </row>
    <row r="113" spans="1:20">
      <c r="A113" t="s">
        <v>1067</v>
      </c>
      <c r="B113" t="s">
        <v>1068</v>
      </c>
      <c r="C113" t="s">
        <v>218</v>
      </c>
      <c r="D113" t="s">
        <v>1069</v>
      </c>
      <c r="E113" t="s">
        <v>1070</v>
      </c>
      <c r="F113" t="s">
        <v>1071</v>
      </c>
      <c r="G113" t="s">
        <v>1072</v>
      </c>
      <c r="H113" s="2" t="s">
        <v>1073</v>
      </c>
      <c r="I113" t="s">
        <v>104</v>
      </c>
      <c r="J113" t="s">
        <v>9</v>
      </c>
      <c r="K113" t="s">
        <v>753</v>
      </c>
      <c r="L113" t="s">
        <v>93</v>
      </c>
      <c r="M113" t="s">
        <v>414</v>
      </c>
      <c r="N113" t="s">
        <v>95</v>
      </c>
      <c r="O113" s="3">
        <f>HYPERLINK(".\.\export_data\inspection_reports\80545_kingston upon thames", ".\export_data\inspection_reports\80545_kingston upon thames")</f>
        <v>0</v>
      </c>
      <c r="P113" t="s">
        <v>104</v>
      </c>
      <c r="Q113" t="s">
        <v>104</v>
      </c>
      <c r="R113" t="s">
        <v>104</v>
      </c>
      <c r="S113" t="s">
        <v>104</v>
      </c>
      <c r="T113" t="s">
        <v>153</v>
      </c>
    </row>
    <row r="114" spans="1:20">
      <c r="A114" t="s">
        <v>1074</v>
      </c>
      <c r="B114" t="s">
        <v>1075</v>
      </c>
      <c r="C114" t="s">
        <v>98</v>
      </c>
      <c r="D114" t="s">
        <v>1076</v>
      </c>
      <c r="E114" t="s">
        <v>1077</v>
      </c>
      <c r="F114" t="s">
        <v>1078</v>
      </c>
      <c r="G114" t="s">
        <v>1079</v>
      </c>
      <c r="H114" s="2" t="s">
        <v>1080</v>
      </c>
      <c r="I114" t="s">
        <v>8</v>
      </c>
      <c r="J114" t="s">
        <v>9</v>
      </c>
      <c r="K114" t="s">
        <v>619</v>
      </c>
      <c r="L114" t="s">
        <v>289</v>
      </c>
      <c r="M114" t="s">
        <v>333</v>
      </c>
      <c r="N114" t="s">
        <v>1081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104</v>
      </c>
      <c r="T114" t="s">
        <v>53</v>
      </c>
    </row>
    <row r="115" spans="1:20">
      <c r="A115" t="s">
        <v>1082</v>
      </c>
      <c r="B115" t="s">
        <v>1083</v>
      </c>
      <c r="C115" t="s">
        <v>305</v>
      </c>
      <c r="D115" t="s">
        <v>1084</v>
      </c>
      <c r="E115" t="s">
        <v>1085</v>
      </c>
      <c r="F115" t="s">
        <v>1086</v>
      </c>
      <c r="G115" t="s">
        <v>1087</v>
      </c>
      <c r="H115" s="2" t="s">
        <v>1088</v>
      </c>
      <c r="I115" t="s">
        <v>8</v>
      </c>
      <c r="J115" t="s">
        <v>48</v>
      </c>
      <c r="K115" t="s">
        <v>506</v>
      </c>
      <c r="L115" t="s">
        <v>1089</v>
      </c>
      <c r="M115" t="s">
        <v>1090</v>
      </c>
      <c r="N115" t="s">
        <v>432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1091</v>
      </c>
      <c r="B116" t="s">
        <v>1092</v>
      </c>
      <c r="C116" t="s">
        <v>56</v>
      </c>
      <c r="D116" t="s">
        <v>1093</v>
      </c>
      <c r="E116" t="s">
        <v>1094</v>
      </c>
      <c r="F116" t="s">
        <v>1095</v>
      </c>
      <c r="G116" t="s">
        <v>1096</v>
      </c>
      <c r="H116" s="2" t="s">
        <v>1097</v>
      </c>
      <c r="I116" t="s">
        <v>8</v>
      </c>
      <c r="J116" t="s">
        <v>9</v>
      </c>
      <c r="K116" t="s">
        <v>1098</v>
      </c>
      <c r="L116" t="s">
        <v>1099</v>
      </c>
      <c r="M116" t="s">
        <v>323</v>
      </c>
      <c r="N116" t="s">
        <v>324</v>
      </c>
      <c r="O116" s="3">
        <f>HYPERLINK(".\.\export_data\inspection_reports\80548_salford", ".\export_data\inspection_reports\80548_salford")</f>
        <v>0</v>
      </c>
      <c r="P116" t="s">
        <v>104</v>
      </c>
      <c r="Q116" t="s">
        <v>8</v>
      </c>
      <c r="R116" t="s">
        <v>8</v>
      </c>
      <c r="S116" t="s">
        <v>104</v>
      </c>
      <c r="T116" t="s">
        <v>490</v>
      </c>
    </row>
    <row r="117" spans="1:20">
      <c r="A117" t="s">
        <v>1100</v>
      </c>
      <c r="B117" t="s">
        <v>1101</v>
      </c>
      <c r="C117" t="s">
        <v>42</v>
      </c>
      <c r="D117" t="s">
        <v>1102</v>
      </c>
      <c r="E117" t="s">
        <v>1103</v>
      </c>
      <c r="F117" t="s">
        <v>1104</v>
      </c>
      <c r="G117" t="s">
        <v>1105</v>
      </c>
      <c r="H117" s="2" t="s">
        <v>1106</v>
      </c>
      <c r="I117" t="s">
        <v>8</v>
      </c>
      <c r="J117" t="s">
        <v>48</v>
      </c>
      <c r="K117" t="s">
        <v>608</v>
      </c>
      <c r="L117" t="s">
        <v>1107</v>
      </c>
      <c r="M117" t="s">
        <v>1108</v>
      </c>
      <c r="N117" t="s">
        <v>1109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15</v>
      </c>
    </row>
    <row r="118" spans="1:20">
      <c r="A118" t="s">
        <v>1110</v>
      </c>
      <c r="B118" t="s">
        <v>1111</v>
      </c>
      <c r="C118" t="s">
        <v>56</v>
      </c>
      <c r="D118" t="s">
        <v>1112</v>
      </c>
      <c r="E118" t="s">
        <v>1113</v>
      </c>
      <c r="F118" t="s">
        <v>1114</v>
      </c>
      <c r="G118" t="s">
        <v>1115</v>
      </c>
      <c r="H118" s="2" t="s">
        <v>1116</v>
      </c>
      <c r="I118" t="s">
        <v>8</v>
      </c>
      <c r="J118" t="s">
        <v>48</v>
      </c>
      <c r="K118" t="s">
        <v>85</v>
      </c>
      <c r="L118" t="s">
        <v>1117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1118</v>
      </c>
      <c r="B119" t="s">
        <v>1119</v>
      </c>
      <c r="C119" t="s">
        <v>2</v>
      </c>
      <c r="D119" t="s">
        <v>1120</v>
      </c>
      <c r="E119" t="s">
        <v>1121</v>
      </c>
      <c r="F119" t="s">
        <v>1122</v>
      </c>
      <c r="G119" t="s">
        <v>1123</v>
      </c>
      <c r="H119" s="2" t="s">
        <v>1124</v>
      </c>
      <c r="I119" t="s">
        <v>8</v>
      </c>
      <c r="J119" t="s">
        <v>48</v>
      </c>
      <c r="K119" t="s">
        <v>506</v>
      </c>
      <c r="L119" t="s">
        <v>11</v>
      </c>
      <c r="M119" t="s">
        <v>1125</v>
      </c>
      <c r="N119" t="s">
        <v>1126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104</v>
      </c>
      <c r="S119" t="s">
        <v>8</v>
      </c>
      <c r="T119" t="s">
        <v>28</v>
      </c>
    </row>
    <row r="120" spans="1:20">
      <c r="A120" t="s">
        <v>1127</v>
      </c>
      <c r="B120" t="s">
        <v>1128</v>
      </c>
      <c r="C120" t="s">
        <v>42</v>
      </c>
      <c r="D120" t="s">
        <v>1129</v>
      </c>
      <c r="E120" t="s">
        <v>1130</v>
      </c>
      <c r="F120" t="s">
        <v>1131</v>
      </c>
      <c r="G120" t="s">
        <v>1132</v>
      </c>
      <c r="H120" s="2" t="s">
        <v>1133</v>
      </c>
      <c r="I120" t="s">
        <v>104</v>
      </c>
      <c r="J120" t="s">
        <v>48</v>
      </c>
      <c r="K120" t="s">
        <v>744</v>
      </c>
      <c r="L120" t="s">
        <v>1117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104</v>
      </c>
      <c r="Q120" t="s">
        <v>104</v>
      </c>
      <c r="R120" t="s">
        <v>104</v>
      </c>
      <c r="S120" t="s">
        <v>8</v>
      </c>
      <c r="T120" t="s">
        <v>153</v>
      </c>
    </row>
    <row r="121" spans="1:20">
      <c r="A121" t="s">
        <v>1134</v>
      </c>
      <c r="B121" t="s">
        <v>1135</v>
      </c>
      <c r="C121" t="s">
        <v>98</v>
      </c>
      <c r="D121" t="s">
        <v>1136</v>
      </c>
      <c r="E121" t="s">
        <v>1137</v>
      </c>
      <c r="F121" t="s">
        <v>1138</v>
      </c>
      <c r="G121" t="s">
        <v>1139</v>
      </c>
      <c r="H121" s="2" t="s">
        <v>1140</v>
      </c>
      <c r="I121" t="s">
        <v>14</v>
      </c>
      <c r="J121" t="s">
        <v>48</v>
      </c>
      <c r="K121" t="s">
        <v>24</v>
      </c>
      <c r="L121" t="s">
        <v>469</v>
      </c>
      <c r="M121" t="s">
        <v>1050</v>
      </c>
      <c r="N121" t="s">
        <v>1051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1141</v>
      </c>
      <c r="B122" t="s">
        <v>1142</v>
      </c>
      <c r="C122" t="s">
        <v>42</v>
      </c>
      <c r="D122" t="s">
        <v>1143</v>
      </c>
      <c r="E122" t="s">
        <v>1144</v>
      </c>
      <c r="F122" t="s">
        <v>1145</v>
      </c>
      <c r="G122" t="s">
        <v>1146</v>
      </c>
      <c r="H122" s="2" t="s">
        <v>1147</v>
      </c>
      <c r="I122" t="s">
        <v>8</v>
      </c>
      <c r="J122" t="s">
        <v>48</v>
      </c>
      <c r="K122" t="s">
        <v>1148</v>
      </c>
      <c r="L122" t="s">
        <v>487</v>
      </c>
      <c r="M122" t="s">
        <v>770</v>
      </c>
      <c r="N122" t="s">
        <v>461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119</v>
      </c>
    </row>
    <row r="123" spans="1:20">
      <c r="A123" t="s">
        <v>1149</v>
      </c>
      <c r="B123" t="s">
        <v>1150</v>
      </c>
      <c r="C123" t="s">
        <v>18</v>
      </c>
      <c r="D123" t="s">
        <v>1151</v>
      </c>
      <c r="E123" t="s">
        <v>1152</v>
      </c>
      <c r="F123" t="s">
        <v>1153</v>
      </c>
      <c r="G123" t="s">
        <v>1154</v>
      </c>
      <c r="H123" s="2" t="s">
        <v>1155</v>
      </c>
      <c r="I123" t="s">
        <v>572</v>
      </c>
      <c r="J123" t="s">
        <v>9</v>
      </c>
      <c r="K123" t="s">
        <v>201</v>
      </c>
      <c r="L123" t="s">
        <v>609</v>
      </c>
      <c r="M123" t="s">
        <v>610</v>
      </c>
      <c r="N123" t="s">
        <v>611</v>
      </c>
      <c r="O123" s="3">
        <f>HYPERLINK(".\.\export_data\inspection_reports\80555_somerset", ".\export_data\inspection_reports\80555_somerset")</f>
        <v>0</v>
      </c>
      <c r="P123" t="s">
        <v>14</v>
      </c>
      <c r="Q123" t="s">
        <v>14</v>
      </c>
      <c r="R123" t="s">
        <v>14</v>
      </c>
      <c r="S123" t="s">
        <v>8</v>
      </c>
      <c r="T123" t="s">
        <v>153</v>
      </c>
    </row>
    <row r="124" spans="1:20">
      <c r="A124" t="s">
        <v>1156</v>
      </c>
      <c r="B124" t="s">
        <v>1157</v>
      </c>
      <c r="C124" t="s">
        <v>18</v>
      </c>
      <c r="D124" t="s">
        <v>1158</v>
      </c>
      <c r="E124" t="s">
        <v>1159</v>
      </c>
      <c r="F124" t="s">
        <v>1160</v>
      </c>
      <c r="G124" t="s">
        <v>1161</v>
      </c>
      <c r="H124" s="2" t="s">
        <v>1162</v>
      </c>
      <c r="I124" t="s">
        <v>8</v>
      </c>
      <c r="J124" t="s">
        <v>48</v>
      </c>
      <c r="K124" t="s">
        <v>10</v>
      </c>
      <c r="L124" t="s">
        <v>663</v>
      </c>
      <c r="M124" t="s">
        <v>441</v>
      </c>
      <c r="N124" t="s">
        <v>442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1163</v>
      </c>
      <c r="B125" t="s">
        <v>1164</v>
      </c>
      <c r="C125" t="s">
        <v>294</v>
      </c>
      <c r="D125" t="s">
        <v>1165</v>
      </c>
      <c r="E125" t="s">
        <v>1166</v>
      </c>
      <c r="F125" t="s">
        <v>1167</v>
      </c>
      <c r="G125" t="s">
        <v>1168</v>
      </c>
      <c r="H125" s="2" t="s">
        <v>1169</v>
      </c>
      <c r="I125" t="s">
        <v>190</v>
      </c>
      <c r="J125" t="s">
        <v>9</v>
      </c>
      <c r="K125" t="s">
        <v>180</v>
      </c>
      <c r="L125" t="s">
        <v>74</v>
      </c>
      <c r="M125" t="s">
        <v>527</v>
      </c>
      <c r="N125" t="s">
        <v>1170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1171</v>
      </c>
      <c r="B126" t="s">
        <v>1172</v>
      </c>
      <c r="C126" t="s">
        <v>98</v>
      </c>
      <c r="D126" t="s">
        <v>1173</v>
      </c>
      <c r="E126" t="s">
        <v>1174</v>
      </c>
      <c r="F126" t="s">
        <v>1175</v>
      </c>
      <c r="G126" t="s">
        <v>1176</v>
      </c>
      <c r="H126" s="2" t="s">
        <v>1177</v>
      </c>
      <c r="I126" t="s">
        <v>8</v>
      </c>
      <c r="J126" t="s">
        <v>48</v>
      </c>
      <c r="K126" t="s">
        <v>392</v>
      </c>
      <c r="L126" t="s">
        <v>1178</v>
      </c>
      <c r="M126" t="s">
        <v>1179</v>
      </c>
      <c r="N126" t="s">
        <v>1180</v>
      </c>
      <c r="O126" s="3">
        <f>HYPERLINK(".\.\export_data\inspection_reports\80558_southampton", ".\export_data\inspection_reports\80558_southampton")</f>
        <v>0</v>
      </c>
      <c r="P126" t="s">
        <v>104</v>
      </c>
      <c r="Q126" t="s">
        <v>8</v>
      </c>
      <c r="R126" t="s">
        <v>8</v>
      </c>
      <c r="S126" t="s">
        <v>8</v>
      </c>
      <c r="T126" t="s">
        <v>142</v>
      </c>
    </row>
    <row r="127" spans="1:20">
      <c r="A127" t="s">
        <v>1181</v>
      </c>
      <c r="B127" t="s">
        <v>1182</v>
      </c>
      <c r="C127" t="s">
        <v>31</v>
      </c>
      <c r="D127" t="s">
        <v>1183</v>
      </c>
      <c r="E127" t="s">
        <v>1184</v>
      </c>
      <c r="F127" t="s">
        <v>1185</v>
      </c>
      <c r="G127" t="s">
        <v>1186</v>
      </c>
      <c r="H127" s="2" t="s">
        <v>1187</v>
      </c>
      <c r="I127" t="s">
        <v>8</v>
      </c>
      <c r="J127" t="s">
        <v>48</v>
      </c>
      <c r="K127" t="s">
        <v>311</v>
      </c>
      <c r="L127" t="s">
        <v>636</v>
      </c>
      <c r="M127" t="s">
        <v>637</v>
      </c>
      <c r="N127" t="s">
        <v>638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153</v>
      </c>
    </row>
    <row r="128" spans="1:20">
      <c r="A128" t="s">
        <v>1188</v>
      </c>
      <c r="B128" t="s">
        <v>1189</v>
      </c>
      <c r="C128" t="s">
        <v>56</v>
      </c>
      <c r="D128" t="s">
        <v>1190</v>
      </c>
      <c r="E128" t="s">
        <v>1191</v>
      </c>
      <c r="F128" t="s">
        <v>1192</v>
      </c>
      <c r="G128" t="s">
        <v>1193</v>
      </c>
      <c r="H128" s="2" t="s">
        <v>1194</v>
      </c>
      <c r="I128" t="s">
        <v>8</v>
      </c>
      <c r="J128" t="s">
        <v>48</v>
      </c>
      <c r="K128" t="s">
        <v>1004</v>
      </c>
      <c r="L128" t="s">
        <v>583</v>
      </c>
      <c r="M128" t="s">
        <v>584</v>
      </c>
      <c r="N128" t="s">
        <v>585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490</v>
      </c>
    </row>
    <row r="129" spans="1:20">
      <c r="A129" t="s">
        <v>1195</v>
      </c>
      <c r="B129" t="s">
        <v>1196</v>
      </c>
      <c r="C129" t="s">
        <v>42</v>
      </c>
      <c r="D129" t="s">
        <v>1197</v>
      </c>
      <c r="E129" t="s">
        <v>1198</v>
      </c>
      <c r="F129" t="s">
        <v>1199</v>
      </c>
      <c r="G129" t="s">
        <v>1200</v>
      </c>
      <c r="H129" s="2" t="s">
        <v>1201</v>
      </c>
      <c r="I129" t="s">
        <v>14</v>
      </c>
      <c r="J129" t="s">
        <v>9</v>
      </c>
      <c r="K129" t="s">
        <v>201</v>
      </c>
      <c r="L129" t="s">
        <v>1099</v>
      </c>
      <c r="M129" t="s">
        <v>323</v>
      </c>
      <c r="N129" t="s">
        <v>324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153</v>
      </c>
    </row>
    <row r="130" spans="1:20">
      <c r="A130" t="s">
        <v>1202</v>
      </c>
      <c r="B130" t="s">
        <v>1203</v>
      </c>
      <c r="C130" t="s">
        <v>56</v>
      </c>
      <c r="D130" t="s">
        <v>1204</v>
      </c>
      <c r="E130" t="s">
        <v>1205</v>
      </c>
      <c r="F130" t="s">
        <v>1206</v>
      </c>
      <c r="G130" t="s">
        <v>1207</v>
      </c>
      <c r="H130" s="2" t="s">
        <v>1208</v>
      </c>
      <c r="I130" t="s">
        <v>14</v>
      </c>
      <c r="J130" t="s">
        <v>48</v>
      </c>
      <c r="K130" t="s">
        <v>73</v>
      </c>
      <c r="L130" t="s">
        <v>891</v>
      </c>
      <c r="M130" t="s">
        <v>313</v>
      </c>
      <c r="N130" t="s">
        <v>1209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15</v>
      </c>
    </row>
    <row r="131" spans="1:20">
      <c r="A131" t="s">
        <v>1210</v>
      </c>
      <c r="B131" t="s">
        <v>1211</v>
      </c>
      <c r="C131" t="s">
        <v>294</v>
      </c>
      <c r="D131" t="s">
        <v>1212</v>
      </c>
      <c r="E131" t="s">
        <v>1213</v>
      </c>
      <c r="F131" t="s">
        <v>1214</v>
      </c>
      <c r="G131" t="s">
        <v>1215</v>
      </c>
      <c r="H131" s="2" t="s">
        <v>1216</v>
      </c>
      <c r="I131" t="s">
        <v>14</v>
      </c>
      <c r="J131" t="s">
        <v>48</v>
      </c>
      <c r="K131" t="s">
        <v>1217</v>
      </c>
      <c r="L131" t="s">
        <v>1218</v>
      </c>
      <c r="M131" t="s">
        <v>1219</v>
      </c>
      <c r="N131" t="s">
        <v>1220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119</v>
      </c>
    </row>
    <row r="132" spans="1:20">
      <c r="A132" t="s">
        <v>1221</v>
      </c>
      <c r="B132" t="s">
        <v>1222</v>
      </c>
      <c r="C132" t="s">
        <v>42</v>
      </c>
      <c r="D132" t="s">
        <v>1223</v>
      </c>
      <c r="E132" t="s">
        <v>1224</v>
      </c>
      <c r="F132" t="s">
        <v>1225</v>
      </c>
      <c r="G132" t="s">
        <v>1226</v>
      </c>
      <c r="H132" s="2" t="s">
        <v>1227</v>
      </c>
      <c r="I132" t="s">
        <v>14</v>
      </c>
      <c r="J132" t="s">
        <v>48</v>
      </c>
      <c r="K132" t="s">
        <v>49</v>
      </c>
      <c r="L132" t="s">
        <v>891</v>
      </c>
      <c r="M132" t="s">
        <v>313</v>
      </c>
      <c r="N132" t="s">
        <v>1209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1228</v>
      </c>
      <c r="B133" t="s">
        <v>1229</v>
      </c>
      <c r="C133" t="s">
        <v>31</v>
      </c>
      <c r="D133" t="s">
        <v>1230</v>
      </c>
      <c r="E133" t="s">
        <v>1231</v>
      </c>
      <c r="F133" t="s">
        <v>1232</v>
      </c>
      <c r="G133" t="s">
        <v>1233</v>
      </c>
      <c r="H133" s="2" t="s">
        <v>1234</v>
      </c>
      <c r="I133" t="s">
        <v>14</v>
      </c>
      <c r="J133" t="s">
        <v>9</v>
      </c>
      <c r="K133" t="s">
        <v>180</v>
      </c>
      <c r="L133" t="s">
        <v>663</v>
      </c>
      <c r="M133" t="s">
        <v>664</v>
      </c>
      <c r="N133" t="s">
        <v>1235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1236</v>
      </c>
      <c r="B134" t="s">
        <v>1237</v>
      </c>
      <c r="C134" t="s">
        <v>294</v>
      </c>
      <c r="D134" t="s">
        <v>1238</v>
      </c>
      <c r="E134" t="s">
        <v>1239</v>
      </c>
      <c r="F134" t="s">
        <v>1240</v>
      </c>
      <c r="G134" t="s">
        <v>1241</v>
      </c>
      <c r="H134" s="2" t="s">
        <v>1242</v>
      </c>
      <c r="I134" t="s">
        <v>104</v>
      </c>
      <c r="J134" t="s">
        <v>9</v>
      </c>
      <c r="K134" t="s">
        <v>381</v>
      </c>
      <c r="L134" t="s">
        <v>139</v>
      </c>
      <c r="M134" t="s">
        <v>344</v>
      </c>
      <c r="N134" t="s">
        <v>1243</v>
      </c>
      <c r="O134" s="3">
        <f>HYPERLINK(".\.\export_data\inspection_reports\80566_sunderland", ".\export_data\inspection_reports\80566_sunderland")</f>
        <v>0</v>
      </c>
      <c r="P134" t="s">
        <v>104</v>
      </c>
      <c r="Q134" t="s">
        <v>104</v>
      </c>
      <c r="R134" t="s">
        <v>104</v>
      </c>
      <c r="S134" t="s">
        <v>8</v>
      </c>
      <c r="T134" t="s">
        <v>153</v>
      </c>
    </row>
    <row r="135" spans="1:20">
      <c r="A135" t="s">
        <v>1244</v>
      </c>
      <c r="B135" t="s">
        <v>1245</v>
      </c>
      <c r="C135" t="s">
        <v>98</v>
      </c>
      <c r="D135" t="s">
        <v>1246</v>
      </c>
      <c r="E135" t="s">
        <v>1247</v>
      </c>
      <c r="F135" t="s">
        <v>1248</v>
      </c>
      <c r="G135" t="s">
        <v>1249</v>
      </c>
      <c r="H135" s="2" t="s">
        <v>1250</v>
      </c>
      <c r="I135" t="s">
        <v>8</v>
      </c>
      <c r="J135" t="s">
        <v>48</v>
      </c>
      <c r="K135" t="s">
        <v>506</v>
      </c>
      <c r="L135" t="s">
        <v>353</v>
      </c>
      <c r="M135" t="s">
        <v>237</v>
      </c>
      <c r="N135" t="s">
        <v>355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1251</v>
      </c>
      <c r="B136" t="s">
        <v>1252</v>
      </c>
      <c r="C136" t="s">
        <v>18</v>
      </c>
      <c r="D136" t="s">
        <v>1253</v>
      </c>
      <c r="E136" t="s">
        <v>1254</v>
      </c>
      <c r="F136" t="s">
        <v>1255</v>
      </c>
      <c r="G136" t="s">
        <v>1256</v>
      </c>
      <c r="H136" s="2" t="s">
        <v>1257</v>
      </c>
      <c r="I136" t="s">
        <v>190</v>
      </c>
      <c r="J136" t="s">
        <v>48</v>
      </c>
      <c r="K136" t="s">
        <v>138</v>
      </c>
      <c r="L136" t="s">
        <v>861</v>
      </c>
      <c r="M136" t="s">
        <v>862</v>
      </c>
      <c r="N136" t="s">
        <v>863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142</v>
      </c>
    </row>
    <row r="137" spans="1:20">
      <c r="A137" t="s">
        <v>1258</v>
      </c>
      <c r="B137" t="s">
        <v>1259</v>
      </c>
      <c r="C137" t="s">
        <v>56</v>
      </c>
      <c r="D137" t="s">
        <v>1260</v>
      </c>
      <c r="E137" t="s">
        <v>1261</v>
      </c>
      <c r="F137" t="s">
        <v>1262</v>
      </c>
      <c r="G137" t="s">
        <v>1263</v>
      </c>
      <c r="H137" s="2" t="s">
        <v>1264</v>
      </c>
      <c r="I137" t="s">
        <v>190</v>
      </c>
      <c r="J137" t="s">
        <v>48</v>
      </c>
      <c r="K137" t="s">
        <v>116</v>
      </c>
      <c r="L137" t="s">
        <v>754</v>
      </c>
      <c r="M137" t="s">
        <v>394</v>
      </c>
      <c r="N137" t="s">
        <v>1265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335</v>
      </c>
    </row>
    <row r="138" spans="1:20">
      <c r="A138" t="s">
        <v>1266</v>
      </c>
      <c r="B138" t="s">
        <v>1267</v>
      </c>
      <c r="C138" t="s">
        <v>42</v>
      </c>
      <c r="D138" t="s">
        <v>1268</v>
      </c>
      <c r="E138" t="s">
        <v>1269</v>
      </c>
      <c r="F138" t="s">
        <v>1270</v>
      </c>
      <c r="G138" t="s">
        <v>1271</v>
      </c>
      <c r="H138" s="2" t="s">
        <v>1272</v>
      </c>
      <c r="I138" t="s">
        <v>104</v>
      </c>
      <c r="J138" t="s">
        <v>9</v>
      </c>
      <c r="K138" t="s">
        <v>180</v>
      </c>
      <c r="L138" t="s">
        <v>1273</v>
      </c>
      <c r="M138" t="s">
        <v>554</v>
      </c>
      <c r="N138" t="s">
        <v>432</v>
      </c>
      <c r="O138" s="3">
        <f>HYPERLINK(".\.\export_data\inspection_reports\80570_telford &amp; wrekin", ".\export_data\inspection_reports\80570_telford &amp; wrekin")</f>
        <v>0</v>
      </c>
      <c r="P138" t="s">
        <v>104</v>
      </c>
      <c r="Q138" t="s">
        <v>8</v>
      </c>
      <c r="R138" t="s">
        <v>104</v>
      </c>
      <c r="S138" t="s">
        <v>104</v>
      </c>
      <c r="T138" t="s">
        <v>53</v>
      </c>
    </row>
    <row r="139" spans="1:20">
      <c r="A139" t="s">
        <v>1274</v>
      </c>
      <c r="B139" t="s">
        <v>1275</v>
      </c>
      <c r="C139" t="s">
        <v>31</v>
      </c>
      <c r="D139" t="s">
        <v>1276</v>
      </c>
      <c r="E139" t="s">
        <v>1277</v>
      </c>
      <c r="F139" t="s">
        <v>1278</v>
      </c>
      <c r="G139" t="s">
        <v>1279</v>
      </c>
      <c r="H139" s="2" t="s">
        <v>1280</v>
      </c>
      <c r="I139" t="s">
        <v>104</v>
      </c>
      <c r="J139" t="s">
        <v>9</v>
      </c>
      <c r="K139" t="s">
        <v>506</v>
      </c>
      <c r="L139" t="s">
        <v>1281</v>
      </c>
      <c r="M139" t="s">
        <v>1282</v>
      </c>
      <c r="N139" t="s">
        <v>1283</v>
      </c>
      <c r="O139" s="3">
        <f>HYPERLINK(".\.\export_data\inspection_reports\80571_thurrock", ".\export_data\inspection_reports\80571_thurrock")</f>
        <v>0</v>
      </c>
      <c r="P139" t="s">
        <v>104</v>
      </c>
      <c r="Q139" t="s">
        <v>104</v>
      </c>
      <c r="R139" t="s">
        <v>104</v>
      </c>
      <c r="S139" t="s">
        <v>104</v>
      </c>
      <c r="T139" t="s">
        <v>28</v>
      </c>
    </row>
    <row r="140" spans="1:20">
      <c r="A140" t="s">
        <v>1284</v>
      </c>
      <c r="B140" t="s">
        <v>1285</v>
      </c>
      <c r="C140" t="s">
        <v>18</v>
      </c>
      <c r="D140" t="s">
        <v>1286</v>
      </c>
      <c r="E140" t="s">
        <v>1287</v>
      </c>
      <c r="F140" t="s">
        <v>1288</v>
      </c>
      <c r="G140" t="s">
        <v>1289</v>
      </c>
      <c r="H140" s="2" t="s">
        <v>1290</v>
      </c>
      <c r="I140" t="s">
        <v>8</v>
      </c>
      <c r="J140" t="s">
        <v>9</v>
      </c>
      <c r="K140" t="s">
        <v>486</v>
      </c>
      <c r="L140" t="s">
        <v>213</v>
      </c>
      <c r="M140" t="s">
        <v>690</v>
      </c>
      <c r="N140" t="s">
        <v>691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490</v>
      </c>
    </row>
    <row r="141" spans="1:20">
      <c r="A141" t="s">
        <v>1291</v>
      </c>
      <c r="B141" t="s">
        <v>1292</v>
      </c>
      <c r="C141" t="s">
        <v>56</v>
      </c>
      <c r="D141" t="s">
        <v>1293</v>
      </c>
      <c r="E141" t="s">
        <v>1294</v>
      </c>
      <c r="F141" t="s">
        <v>1295</v>
      </c>
      <c r="G141" t="s">
        <v>1296</v>
      </c>
      <c r="H141" s="2" t="s">
        <v>1297</v>
      </c>
      <c r="I141" t="s">
        <v>14</v>
      </c>
      <c r="J141" t="s">
        <v>48</v>
      </c>
      <c r="K141" t="s">
        <v>138</v>
      </c>
      <c r="L141" t="s">
        <v>1298</v>
      </c>
      <c r="M141" t="s">
        <v>1299</v>
      </c>
      <c r="N141" t="s">
        <v>1300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142</v>
      </c>
    </row>
    <row r="142" spans="1:20">
      <c r="A142" t="s">
        <v>1301</v>
      </c>
      <c r="B142" t="s">
        <v>1302</v>
      </c>
      <c r="C142" t="s">
        <v>42</v>
      </c>
      <c r="D142" t="s">
        <v>1303</v>
      </c>
      <c r="E142" t="s">
        <v>1304</v>
      </c>
      <c r="F142" t="s">
        <v>1305</v>
      </c>
      <c r="G142" t="s">
        <v>1306</v>
      </c>
      <c r="H142" s="2" t="s">
        <v>1307</v>
      </c>
      <c r="I142" t="s">
        <v>104</v>
      </c>
      <c r="J142" t="s">
        <v>9</v>
      </c>
      <c r="K142" t="s">
        <v>138</v>
      </c>
      <c r="L142" t="s">
        <v>891</v>
      </c>
      <c r="M142" t="s">
        <v>892</v>
      </c>
      <c r="N142" t="s">
        <v>314</v>
      </c>
      <c r="O142" s="3">
        <f>HYPERLINK(".\.\export_data\inspection_reports\80574_walsall", ".\export_data\inspection_reports\80574_walsall")</f>
        <v>0</v>
      </c>
      <c r="P142" t="s">
        <v>104</v>
      </c>
      <c r="Q142" t="s">
        <v>8</v>
      </c>
      <c r="R142" t="s">
        <v>104</v>
      </c>
      <c r="S142" t="s">
        <v>8</v>
      </c>
      <c r="T142" t="s">
        <v>142</v>
      </c>
    </row>
    <row r="143" spans="1:20">
      <c r="A143" t="s">
        <v>1308</v>
      </c>
      <c r="B143" t="s">
        <v>1309</v>
      </c>
      <c r="C143" t="s">
        <v>56</v>
      </c>
      <c r="D143" t="s">
        <v>1310</v>
      </c>
      <c r="E143" t="s">
        <v>1311</v>
      </c>
      <c r="F143" t="s">
        <v>1312</v>
      </c>
      <c r="G143" t="s">
        <v>1313</v>
      </c>
      <c r="H143" s="2" t="s">
        <v>1314</v>
      </c>
      <c r="I143" t="s">
        <v>8</v>
      </c>
      <c r="J143" t="s">
        <v>9</v>
      </c>
      <c r="K143" t="s">
        <v>85</v>
      </c>
      <c r="L143" t="s">
        <v>440</v>
      </c>
      <c r="M143" t="s">
        <v>441</v>
      </c>
      <c r="N143" t="s">
        <v>1315</v>
      </c>
      <c r="O143" s="3">
        <f>HYPERLINK(".\.\export_data\inspection_reports\80575_warrington", ".\export_data\inspection_reports\80575_warrington")</f>
        <v>0</v>
      </c>
      <c r="P143" t="s">
        <v>104</v>
      </c>
      <c r="Q143" t="s">
        <v>8</v>
      </c>
      <c r="R143" t="s">
        <v>104</v>
      </c>
      <c r="S143" t="s">
        <v>8</v>
      </c>
      <c r="T143" t="s">
        <v>28</v>
      </c>
    </row>
    <row r="144" spans="1:20">
      <c r="A144" t="s">
        <v>1316</v>
      </c>
      <c r="B144" t="s">
        <v>1317</v>
      </c>
      <c r="C144" t="s">
        <v>42</v>
      </c>
      <c r="D144" t="s">
        <v>1318</v>
      </c>
      <c r="E144" t="s">
        <v>1319</v>
      </c>
      <c r="F144" t="s">
        <v>1320</v>
      </c>
      <c r="G144" t="s">
        <v>1321</v>
      </c>
      <c r="H144" s="2" t="s">
        <v>1322</v>
      </c>
      <c r="I144" t="s">
        <v>14</v>
      </c>
      <c r="J144" t="s">
        <v>9</v>
      </c>
      <c r="K144" t="s">
        <v>116</v>
      </c>
      <c r="L144" t="s">
        <v>1323</v>
      </c>
      <c r="M144" t="s">
        <v>1324</v>
      </c>
      <c r="N144" t="s">
        <v>1325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335</v>
      </c>
    </row>
    <row r="145" spans="1:20">
      <c r="A145" t="s">
        <v>1326</v>
      </c>
      <c r="B145" t="s">
        <v>1327</v>
      </c>
      <c r="C145" t="s">
        <v>98</v>
      </c>
      <c r="D145" t="s">
        <v>1328</v>
      </c>
      <c r="E145" t="s">
        <v>1329</v>
      </c>
      <c r="F145" t="s">
        <v>1330</v>
      </c>
      <c r="G145" t="s">
        <v>1331</v>
      </c>
      <c r="H145" s="2" t="s">
        <v>1332</v>
      </c>
      <c r="I145" t="s">
        <v>8</v>
      </c>
      <c r="J145" t="s">
        <v>9</v>
      </c>
      <c r="K145" t="s">
        <v>901</v>
      </c>
      <c r="L145" t="s">
        <v>1333</v>
      </c>
      <c r="M145" t="s">
        <v>1334</v>
      </c>
      <c r="N145" t="s">
        <v>1335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490</v>
      </c>
    </row>
    <row r="146" spans="1:20">
      <c r="A146" t="s">
        <v>1336</v>
      </c>
      <c r="B146" t="s">
        <v>1337</v>
      </c>
      <c r="C146" t="s">
        <v>305</v>
      </c>
      <c r="D146" t="s">
        <v>1338</v>
      </c>
      <c r="E146" t="s">
        <v>1339</v>
      </c>
      <c r="F146" t="s">
        <v>1340</v>
      </c>
      <c r="G146" t="s">
        <v>1341</v>
      </c>
      <c r="H146" s="2" t="s">
        <v>1342</v>
      </c>
      <c r="I146" t="s">
        <v>572</v>
      </c>
      <c r="J146" t="s">
        <v>48</v>
      </c>
      <c r="K146" t="s">
        <v>150</v>
      </c>
      <c r="L146" t="s">
        <v>573</v>
      </c>
      <c r="M146" t="s">
        <v>574</v>
      </c>
      <c r="N146" t="s">
        <v>575</v>
      </c>
      <c r="O146" s="3">
        <f>HYPERLINK(".\.\export_data\inspection_reports\2637548_west northamptonshire", ".\export_data\inspection_reports\2637548_west northamptonshire")</f>
        <v>0</v>
      </c>
      <c r="P146" t="s">
        <v>104</v>
      </c>
      <c r="Q146" t="s">
        <v>8</v>
      </c>
      <c r="R146" t="s">
        <v>8</v>
      </c>
      <c r="S146" t="s">
        <v>8</v>
      </c>
      <c r="T146" t="s">
        <v>153</v>
      </c>
    </row>
    <row r="147" spans="1:20">
      <c r="A147" t="s">
        <v>1343</v>
      </c>
      <c r="B147" t="s">
        <v>1344</v>
      </c>
      <c r="C147" t="s">
        <v>98</v>
      </c>
      <c r="D147" t="s">
        <v>1345</v>
      </c>
      <c r="E147" t="s">
        <v>1346</v>
      </c>
      <c r="F147" t="s">
        <v>1347</v>
      </c>
      <c r="G147" t="s">
        <v>1348</v>
      </c>
      <c r="H147" s="2" t="s">
        <v>1349</v>
      </c>
      <c r="I147" t="s">
        <v>14</v>
      </c>
      <c r="J147" t="s">
        <v>48</v>
      </c>
      <c r="K147" t="s">
        <v>1350</v>
      </c>
      <c r="L147" t="s">
        <v>871</v>
      </c>
      <c r="M147" t="s">
        <v>872</v>
      </c>
      <c r="N147" t="s">
        <v>938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119</v>
      </c>
    </row>
    <row r="148" spans="1:20">
      <c r="A148" t="s">
        <v>1351</v>
      </c>
      <c r="B148" t="s">
        <v>1352</v>
      </c>
      <c r="C148" t="s">
        <v>56</v>
      </c>
      <c r="D148" t="s">
        <v>1353</v>
      </c>
      <c r="E148" t="s">
        <v>1354</v>
      </c>
      <c r="F148" t="s">
        <v>1355</v>
      </c>
      <c r="G148" t="s">
        <v>1356</v>
      </c>
      <c r="H148" s="2" t="s">
        <v>1357</v>
      </c>
      <c r="I148" t="s">
        <v>8</v>
      </c>
      <c r="J148" t="s">
        <v>48</v>
      </c>
      <c r="K148" t="s">
        <v>1098</v>
      </c>
      <c r="L148" t="s">
        <v>553</v>
      </c>
      <c r="M148" t="s">
        <v>554</v>
      </c>
      <c r="N148" t="s">
        <v>432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490</v>
      </c>
    </row>
    <row r="149" spans="1:20">
      <c r="A149" t="s">
        <v>1358</v>
      </c>
      <c r="B149" t="s">
        <v>1359</v>
      </c>
      <c r="C149" t="s">
        <v>56</v>
      </c>
      <c r="D149" t="s">
        <v>1360</v>
      </c>
      <c r="E149" t="s">
        <v>1361</v>
      </c>
      <c r="F149" t="s">
        <v>1362</v>
      </c>
      <c r="G149" t="s">
        <v>1363</v>
      </c>
      <c r="H149" s="2" t="s">
        <v>1364</v>
      </c>
      <c r="I149" t="s">
        <v>8</v>
      </c>
      <c r="J149" t="s">
        <v>48</v>
      </c>
      <c r="K149" t="s">
        <v>744</v>
      </c>
      <c r="L149" t="s">
        <v>1365</v>
      </c>
      <c r="M149" t="s">
        <v>1366</v>
      </c>
      <c r="N149" t="s">
        <v>1367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104</v>
      </c>
      <c r="S149" t="s">
        <v>104</v>
      </c>
      <c r="T149" t="s">
        <v>153</v>
      </c>
    </row>
    <row r="150" spans="1:20">
      <c r="A150" t="s">
        <v>1368</v>
      </c>
      <c r="B150" t="s">
        <v>1369</v>
      </c>
      <c r="C150" t="s">
        <v>18</v>
      </c>
      <c r="D150" t="s">
        <v>1370</v>
      </c>
      <c r="E150" t="s">
        <v>1371</v>
      </c>
      <c r="F150" t="s">
        <v>1372</v>
      </c>
      <c r="G150" t="s">
        <v>1373</v>
      </c>
      <c r="H150" s="2" t="s">
        <v>1374</v>
      </c>
      <c r="I150" t="s">
        <v>104</v>
      </c>
      <c r="J150" t="s">
        <v>9</v>
      </c>
      <c r="K150" t="s">
        <v>403</v>
      </c>
      <c r="L150" t="s">
        <v>1375</v>
      </c>
      <c r="M150" t="s">
        <v>1376</v>
      </c>
      <c r="N150" t="s">
        <v>1377</v>
      </c>
      <c r="O150" s="3">
        <f>HYPERLINK(".\.\export_data\inspection_reports\80580_wiltshire", ".\export_data\inspection_reports\80580_wiltshire")</f>
        <v>0</v>
      </c>
      <c r="P150" t="s">
        <v>104</v>
      </c>
      <c r="Q150" t="s">
        <v>8</v>
      </c>
      <c r="R150" t="s">
        <v>104</v>
      </c>
      <c r="S150" t="s">
        <v>104</v>
      </c>
      <c r="T150" t="s">
        <v>15</v>
      </c>
    </row>
    <row r="151" spans="1:20">
      <c r="A151" t="s">
        <v>1378</v>
      </c>
      <c r="B151" t="s">
        <v>1379</v>
      </c>
      <c r="C151" t="s">
        <v>56</v>
      </c>
      <c r="D151" t="s">
        <v>1380</v>
      </c>
      <c r="E151" t="s">
        <v>1381</v>
      </c>
      <c r="F151" t="s">
        <v>1382</v>
      </c>
      <c r="G151" t="s">
        <v>1383</v>
      </c>
      <c r="H151" s="2" t="s">
        <v>1384</v>
      </c>
      <c r="I151" t="s">
        <v>14</v>
      </c>
      <c r="J151" t="s">
        <v>48</v>
      </c>
      <c r="K151" t="s">
        <v>191</v>
      </c>
      <c r="L151" t="s">
        <v>1385</v>
      </c>
      <c r="M151" t="s">
        <v>1376</v>
      </c>
      <c r="N151" t="s">
        <v>1386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15</v>
      </c>
    </row>
    <row r="152" spans="1:20">
      <c r="A152" t="s">
        <v>1387</v>
      </c>
      <c r="B152" t="s">
        <v>1388</v>
      </c>
      <c r="C152" t="s">
        <v>98</v>
      </c>
      <c r="D152" t="s">
        <v>1389</v>
      </c>
      <c r="E152" t="s">
        <v>1390</v>
      </c>
      <c r="F152" t="s">
        <v>1391</v>
      </c>
      <c r="G152" t="s">
        <v>1392</v>
      </c>
      <c r="H152" s="2" t="s">
        <v>1393</v>
      </c>
      <c r="I152" t="s">
        <v>14</v>
      </c>
      <c r="J152" t="s">
        <v>48</v>
      </c>
      <c r="K152" t="s">
        <v>392</v>
      </c>
      <c r="L152" t="s">
        <v>1218</v>
      </c>
      <c r="M152" t="s">
        <v>1219</v>
      </c>
      <c r="N152" t="s">
        <v>1220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142</v>
      </c>
    </row>
    <row r="153" spans="1:20">
      <c r="A153" t="s">
        <v>1394</v>
      </c>
      <c r="B153" t="s">
        <v>1395</v>
      </c>
      <c r="C153" t="s">
        <v>42</v>
      </c>
      <c r="D153" t="s">
        <v>1396</v>
      </c>
      <c r="E153" t="s">
        <v>1397</v>
      </c>
      <c r="F153" t="s">
        <v>1398</v>
      </c>
      <c r="G153" t="s">
        <v>1399</v>
      </c>
      <c r="H153" s="2" t="s">
        <v>1400</v>
      </c>
      <c r="I153" t="s">
        <v>8</v>
      </c>
      <c r="J153" t="s">
        <v>9</v>
      </c>
      <c r="K153" t="s">
        <v>201</v>
      </c>
      <c r="L153" t="s">
        <v>1401</v>
      </c>
      <c r="M153" t="s">
        <v>842</v>
      </c>
      <c r="N153" t="s">
        <v>1402</v>
      </c>
      <c r="O153" s="3">
        <f>HYPERLINK(".\.\export_data\inspection_reports\80583_wolverhampton", ".\export_data\inspection_reports\80583_wolverhampton")</f>
        <v>0</v>
      </c>
      <c r="P153" t="s">
        <v>8</v>
      </c>
      <c r="Q153" t="s">
        <v>14</v>
      </c>
      <c r="R153" t="s">
        <v>104</v>
      </c>
      <c r="S153" t="s">
        <v>104</v>
      </c>
      <c r="T153" t="s">
        <v>153</v>
      </c>
    </row>
    <row r="154" spans="1:20">
      <c r="A154" t="s">
        <v>1403</v>
      </c>
      <c r="B154" t="s">
        <v>1404</v>
      </c>
      <c r="C154" t="s">
        <v>42</v>
      </c>
      <c r="D154" t="s">
        <v>1405</v>
      </c>
      <c r="E154" t="s">
        <v>1406</v>
      </c>
      <c r="F154" t="s">
        <v>1407</v>
      </c>
      <c r="G154" t="s">
        <v>1408</v>
      </c>
      <c r="H154" s="2" t="s">
        <v>1409</v>
      </c>
      <c r="I154" t="s">
        <v>8</v>
      </c>
      <c r="J154" t="s">
        <v>48</v>
      </c>
      <c r="K154" t="s">
        <v>180</v>
      </c>
      <c r="L154" t="s">
        <v>1025</v>
      </c>
      <c r="M154" t="s">
        <v>1410</v>
      </c>
      <c r="N154" t="s">
        <v>1411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2026-07-25T07:21:53Z</dcterms:created>
  <dcterms:modified xsi:type="dcterms:W3CDTF">2026-07-25T07:21:53Z</dcterms:modified>
</cp:coreProperties>
</file>