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<sst xmlns="http://schemas.openxmlformats.org/spreadsheetml/2006/main" count="2923" uniqueCount="1432">
  <si>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</si>
  <si>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</si>
  <si>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</si>
  <si>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</si>
  <si>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</si>
  <si>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</si>
  <si>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</si>
  <si>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</si>
  <si>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</si>
  <si>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</si>
  <si>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</si>
  <si>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</si>
  <si>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</si>
  <si>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</si>
  <si>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</si>
  <si>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</si>
  <si>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</si>
  <si>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</si>
  <si>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</si>
  <si>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</si>
  <si>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</si>
  <si>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</si>
  <si>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</si>
  <si>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</si>
  <si>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</si>
  <si>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</si>
  <si>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</si>
  <si>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</si>
  <si>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</si>
  <si>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</si>
  <si>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</si>
  <si>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</si>
  <si>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</si>
  <si>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</si>
  <si>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</si>
  <si>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</si>
  <si>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</si>
  <si>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</si>
  <si>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</si>
  <si>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</si>
  <si>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</si>
  <si>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</si>
  <si>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</si>
  <si>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</si>
  <si>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</si>
  <si>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</si>
  <si>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</si>
  <si>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</si>
  <si>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</si>
  <si>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</si>
  <si>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</si>
  <si>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</si>
  <si>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</si>
  <si>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</si>
  <si>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</si>
  <si>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</si>
  <si>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</si>
  <si>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</si>
  <si>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</si>
  <si>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</si>
  <si>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</si>
  <si>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</si>
  <si>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</si>
  <si>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</si>
  <si>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</si>
  <si>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</si>
  <si>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</si>
  <si>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</si>
  <si>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</si>
  <si>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</si>
  <si>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</si>
  <si>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</si>
  <si>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</si>
  <si>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</si>
  <si>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</si>
  <si>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</si>
  <si>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</si>
  <si>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</si>
  <si>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</si>
  <si>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</si>
  <si>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</si>
  <si>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</si>
  <si>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</si>
  <si>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</si>
  <si>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</si>
  <si>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</si>
  <si>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</si>
  <si>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</si>
  <si>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</si>
  <si>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</si>
  <si>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</si>
  <si>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</si>
  <si>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</si>
  <si>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</si>
  <si>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</si>
  <si>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</si>
  <si>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</si>
  <si>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</si>
  <si>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</si>
  <si>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</si>
  <si>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</si>
  <si>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</si>
  <si>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</si>
  <si>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</si>
  <si>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</si>
  <si>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</si>
  <si>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</si>
  <si>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</si>
  <si>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</si>
  <si>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</si>
  <si>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</si>
  <si>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</si>
  <si>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</si>
  <si>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</si>
  <si>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</si>
  <si>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</si>
  <si>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</si>
  <si>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</si>
  <si>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</si>
  <si>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</si>
  <si>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</si>
  <si>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</si>
  <si>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</si>
  <si>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</si>
  <si>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</si>
  <si>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</si>
  <si>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</si>
  <si>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</si>
  <si>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</si>
  <si>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</si>
  <si>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</si>
  <si>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</si>
  <si>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</si>
  <si>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</si>
  <si>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</si>
  <si>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</si>
  <si>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</si>
  <si>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</si>
  <si>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</si>
  <si>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</si>
  <si>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</si>
  <si>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</si>
  <si>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</si>
  <si>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</si>
  <si>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</si>
  <si>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</si>
  <si>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</si>
  <si>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</si>
  <si>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</si>
  <si>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</si>
  <si>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</si>
  <si>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</si>
  <si>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</si>
  <si>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</si>
  <si>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</si>
  <si>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</si>
  <si>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</si>
  <si>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</si>
  <si>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</si>
  <si>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</si>
  <si>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</si>
  <si>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</si>
  <si>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</si>
  <si>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</si>
  <si>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</si>
  <si>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</si>
  <si>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</si>
  <si>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</si>
  <si>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</si>
  <si>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</si>
  <si>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</si>
  <si>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</si>
  <si>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</si>
  <si>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</si>
  <si>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</si>
  <si>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</si>
  <si>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</si>
  <si>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</si>
  <si>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</si>
  <si>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</si>
  <si>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</si>
  <si>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</si>
  <si>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</si>
  <si>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</si>
  <si>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</si>
  <si>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</si>
  <si>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</si>
  <si>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</si>
  <si>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</si>
  <si>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</si>
  <si>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</si>
  <si>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</si>
  <si>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</si>
  <si>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</si>
  <si>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</si>
  <si>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</si>
  <si>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</si>
  <si>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</si>
  <si>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</si>
  <si>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</si>
  <si>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</si>
  <si>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</si>
  <si>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</si>
  <si>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</si>
  <si>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</si>
  <si>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</si>
  <si>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</si>
  <si>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</si>
  <si>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</si>
  <si>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</si>
  <si>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</si>
  <si>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</si>
  <si>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</si>
  <si>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</si>
  <si>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</si>
  <si>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</si>
  <si>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</si>
  <si>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</si>
  <si>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</si>
  <si>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</si>
  <si>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</si>
  <si>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</si>
  <si>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</si>
  <si>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</si>
  <si>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</si>
  <si>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</si>
  <si>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</si>
  <si>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</si>
  <si>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</si>
  <si>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</si>
  <si>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</si>
  <si>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</si>
  <si>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</si>
  <si>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</si>
  <si>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</si>
  <si>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</si>
  <si>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</si>
  <si>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</si>
  <si>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</si>
  <si>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</si>
  <si>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</si>
  <si>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</si>
  <si>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</si>
  <si>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</si>
  <si>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</si>
  <si>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</si>
  <si>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</si>
  <si>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</si>
  <si>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</si>
  <si>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</si>
  <si>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</si>
  <si>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</si>
  <si>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</si>
  <si>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</si>
  <si>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</si>
  <si>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</si>
  <si>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</si>
  <si>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</si>
  <si>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</si>
  <si>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</si>
  <si>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</si>
  <si>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</si>
  <si>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</si>
  <si>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</si>
  <si>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</si>
  <si>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</si>
  <si>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</si>
  <si>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</si>
  <si>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</si>
  <si>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</si>
  <si>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</si>
  <si>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</si>
  <si>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</si>
  <si>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</si>
  <si>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</si>
  <si>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</si>
  <si>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</si>
  <si>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</si>
  <si>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</si>
  <si>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</si>
  <si>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</si>
  <si>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</si>
  <si>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</si>
  <si>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</si>
  <si>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</si>
  <si>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</si>
  <si>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</si>
  <si>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</si>
  <si>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</si>
  <si>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</si>
  <si>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</si>
  <si>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</si>
  <si>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</si>
  <si>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</si>
  <si>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</si>
  <si>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</si>
  <si>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</si>
  <si>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</si>
  <si>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</si>
  <si>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</si>
  <si>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</si>
  <si>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</si>
  <si>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</si>
  <si>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</si>
  <si>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</si>
  <si>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</si>
  <si>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</si>
  <si>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</si>
  <si>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</si>
  <si>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</si>
  <si>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</si>
  <si>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</si>
  <si>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</si>
  <si>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</si>
  <si>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</si>
  <si>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</si>
  <si>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</si>
  <si>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</si>
  <si>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</si>
  <si>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</si>
  <si>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</si>
  <si>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</si>
  <si>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</si>
  <si>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</si>
  <si>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</si>
  <si>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</si>
  <si>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</si>
  <si>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</si>
  <si>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</si>
  <si>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</si>
  <si>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</si>
  <si>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</si>
  <si>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</si>
  <si>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</si>
  <si>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</si>
  <si>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</si>
  <si>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</si>
  <si>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</si>
  <si>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</si>
  <si>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</si>
  <si>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</si>
  <si>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</si>
  <si>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</si>
  <si>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</si>
  <si>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</si>
  <si>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</si>
  <si>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</si>
  <si>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</si>
  <si>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</si>
  <si>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</si>
  <si>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</si>
  <si>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</si>
  <si>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</si>
  <si>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</si>
  <si>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</si>
  <si>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</si>
  <si>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</si>
  <si>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</si>
  <si>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</si>
  <si>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</si>
  <si>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</si>
  <si>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</si>
  <si>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</si>
  <si>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</si>
  <si>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</si>
  <si>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</si>
  <si>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</si>
  <si>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</si>
  <si>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</si>
  <si>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</si>
  <si>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</si>
  <si>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</si>
  <si>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</si>
  <si>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</si>
  <si>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</si>
  <si>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</si>
  <si>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</si>
  <si>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</si>
  <si>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</si>
  <si>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</si>
  <si>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</si>
  <si>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</si>
  <si>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</si>
  <si>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</si>
  <si>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</si>
  <si>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</si>
  <si>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</si>
  <si>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</si>
  <si>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</si>
  <si>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</si>
  <si>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</si>
  <si>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</si>
  <si>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</si>
  <si>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</si>
  <si>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</si>
  <si>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</si>
  <si>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</si>
  <si>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</si>
  <si>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</si>
  <si>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</si>
  <si>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</si>
  <si>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</si>
  <si>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</si>
  <si>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</si>
  <si>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</si>
  <si>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</si>
  <si>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</si>
  <si>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</si>
  <si>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</si>
  <si>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</si>
  <si>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</si>
  <si>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</si>
  <si>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</si>
  <si>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</si>
  <si>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</si>
  <si>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</si>
  <si>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</si>
  <si>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</si>
  <si>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</si>
  <si>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</si>
  <si>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</si>
  <si>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</si>
  <si>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</si>
  <si>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</si>
  <si>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</si>
  <si>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</si>
  <si>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</si>
  <si>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</si>
  <si>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</si>
  <si>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</si>
  <si>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</si>
  <si>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</si>
  <si>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</si>
  <si>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</si>
  <si>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</si>
  <si>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</si>
  <si>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</si>
  <si>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</si>
  <si>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</si>
  <si>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</si>
  <si>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</si>
  <si>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</si>
  <si>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</si>
  <si>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</si>
  <si>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</si>
  <si>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</si>
  <si>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</si>
  <si>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</si>
  <si>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</si>
  <si>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</si>
  <si>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</si>
  <si>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</si>
  <si>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</si>
  <si>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</si>
  <si>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</si>
  <si>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</si>
  <si>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</si>
  <si>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</si>
  <si>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</si>
  <si>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</si>
  <si>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</si>
  <si>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</si>
  <si>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</si>
  <si>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</si>
  <si>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</si>
  <si>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</si>
  <si>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</si>
  <si>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</si>
  <si>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</si>
  <si>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</si>
  <si>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nan</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</si>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</sst>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470</v>
      </c>
      <c r="J45" t="s">
        <v>9</v>
      </c>
      <c r="K45" t="s">
        <v>277</v>
      </c>
      <c r="L45" t="s">
        <v>471</v>
      </c>
      <c r="M45" t="s">
        <v>362</v>
      </c>
      <c r="N45" t="s">
        <v>363</v>
      </c>
      <c r="O45" s="3">
        <f>HYPERLINK(".\.\export_data\inspection_reports\80475_hertfordshire", ".\export_data\inspection_reports\80475_hertfordshire")</f>
        <v>0</v>
      </c>
      <c r="P45" t="s">
        <v>472</v>
      </c>
      <c r="Q45" t="s">
        <v>472</v>
      </c>
      <c r="R45" t="s">
        <v>472</v>
      </c>
      <c r="S45" t="s">
        <v>472</v>
      </c>
      <c r="T45" t="s">
        <v>53</v>
      </c>
    </row>
    <row r="46" spans="1:20">
      <c r="A46" t="s">
        <v>473</v>
      </c>
      <c r="B46" t="s">
        <v>474</v>
      </c>
      <c r="C46" t="s">
        <v>100</v>
      </c>
      <c r="D46" t="s">
        <v>475</v>
      </c>
      <c r="E46" t="s">
        <v>476</v>
      </c>
      <c r="F46" t="s">
        <v>477</v>
      </c>
      <c r="G46" t="s">
        <v>478</v>
      </c>
      <c r="H46" s="2" t="s">
        <v>479</v>
      </c>
      <c r="I46" t="s">
        <v>8</v>
      </c>
      <c r="J46" t="s">
        <v>9</v>
      </c>
      <c r="K46" t="s">
        <v>24</v>
      </c>
      <c r="L46" t="s">
        <v>320</v>
      </c>
      <c r="M46" t="s">
        <v>480</v>
      </c>
      <c r="N46" t="s">
        <v>481</v>
      </c>
      <c r="O46" s="3">
        <f>HYPERLINK(".\.\export_data\inspection_reports\80419_isle of wight", ".\export_data\inspection_reports\80419_isle of wight")</f>
        <v>0</v>
      </c>
      <c r="P46" t="s">
        <v>8</v>
      </c>
      <c r="Q46" t="s">
        <v>14</v>
      </c>
      <c r="R46" t="s">
        <v>8</v>
      </c>
      <c r="S46" t="s">
        <v>8</v>
      </c>
      <c r="T46" t="s">
        <v>28</v>
      </c>
    </row>
    <row r="47" spans="1:20">
      <c r="A47" t="s">
        <v>482</v>
      </c>
      <c r="B47" t="s">
        <v>483</v>
      </c>
      <c r="C47" t="s">
        <v>100</v>
      </c>
      <c r="D47" t="s">
        <v>484</v>
      </c>
      <c r="E47" t="s">
        <v>485</v>
      </c>
      <c r="F47" t="s">
        <v>486</v>
      </c>
      <c r="G47" t="s">
        <v>487</v>
      </c>
      <c r="H47" s="2" t="s">
        <v>488</v>
      </c>
      <c r="I47" t="s">
        <v>8</v>
      </c>
      <c r="J47" t="s">
        <v>9</v>
      </c>
      <c r="K47" t="s">
        <v>489</v>
      </c>
      <c r="L47" t="s">
        <v>490</v>
      </c>
      <c r="M47" t="s">
        <v>491</v>
      </c>
      <c r="N47" t="s">
        <v>492</v>
      </c>
      <c r="O47" s="3">
        <f>HYPERLINK(".\.\export_data\inspection_reports\80476_kent", ".\export_data\inspection_reports\80476_kent")</f>
        <v>0</v>
      </c>
      <c r="P47" t="s">
        <v>8</v>
      </c>
      <c r="Q47" t="s">
        <v>8</v>
      </c>
      <c r="R47" t="s">
        <v>78</v>
      </c>
      <c r="S47" t="s">
        <v>14</v>
      </c>
      <c r="T47" t="s">
        <v>433</v>
      </c>
    </row>
    <row r="48" spans="1:20">
      <c r="A48" t="s">
        <v>493</v>
      </c>
      <c r="B48" t="s">
        <v>494</v>
      </c>
      <c r="C48" t="s">
        <v>2</v>
      </c>
      <c r="D48" t="s">
        <v>495</v>
      </c>
      <c r="E48" t="s">
        <v>496</v>
      </c>
      <c r="F48" t="s">
        <v>497</v>
      </c>
      <c r="G48" t="s">
        <v>498</v>
      </c>
      <c r="H48" s="2" t="s">
        <v>499</v>
      </c>
      <c r="I48" t="s">
        <v>8</v>
      </c>
      <c r="J48" t="s">
        <v>48</v>
      </c>
      <c r="K48" t="s">
        <v>245</v>
      </c>
      <c r="L48" t="s">
        <v>500</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501</v>
      </c>
      <c r="B49" t="s">
        <v>502</v>
      </c>
      <c r="C49" t="s">
        <v>2</v>
      </c>
      <c r="D49" t="s">
        <v>503</v>
      </c>
      <c r="E49" t="s">
        <v>504</v>
      </c>
      <c r="F49" t="s">
        <v>505</v>
      </c>
      <c r="G49" t="s">
        <v>506</v>
      </c>
      <c r="H49" s="2" t="s">
        <v>507</v>
      </c>
      <c r="I49" t="s">
        <v>8</v>
      </c>
      <c r="J49" t="s">
        <v>48</v>
      </c>
      <c r="K49" t="s">
        <v>508</v>
      </c>
      <c r="L49" t="s">
        <v>509</v>
      </c>
      <c r="M49" t="s">
        <v>202</v>
      </c>
      <c r="N49" t="s">
        <v>203</v>
      </c>
      <c r="O49" s="3">
        <f>HYPERLINK(".\.\export_data\inspection_reports\80478_kirklees", ".\export_data\inspection_reports\80478_kirklees")</f>
        <v>0</v>
      </c>
      <c r="P49" t="s">
        <v>8</v>
      </c>
      <c r="Q49" t="s">
        <v>8</v>
      </c>
      <c r="R49" t="s">
        <v>8</v>
      </c>
      <c r="S49" t="s">
        <v>14</v>
      </c>
      <c r="T49" t="s">
        <v>87</v>
      </c>
    </row>
    <row r="50" spans="1:20">
      <c r="A50" t="s">
        <v>510</v>
      </c>
      <c r="B50" t="s">
        <v>511</v>
      </c>
      <c r="C50" t="s">
        <v>56</v>
      </c>
      <c r="D50" t="s">
        <v>512</v>
      </c>
      <c r="E50" t="s">
        <v>513</v>
      </c>
      <c r="F50" t="s">
        <v>514</v>
      </c>
      <c r="G50" t="s">
        <v>515</v>
      </c>
      <c r="H50" s="2" t="s">
        <v>516</v>
      </c>
      <c r="I50" t="s">
        <v>189</v>
      </c>
      <c r="J50" t="s">
        <v>48</v>
      </c>
      <c r="K50" t="s">
        <v>517</v>
      </c>
      <c r="L50" t="s">
        <v>518</v>
      </c>
      <c r="M50" t="s">
        <v>519</v>
      </c>
      <c r="N50" t="s">
        <v>520</v>
      </c>
      <c r="O50" s="3">
        <f>HYPERLINK(".\.\export_data\inspection_reports\80479_knowsley", ".\export_data\inspection_reports\80479_knowsley")</f>
        <v>0</v>
      </c>
      <c r="P50" t="s">
        <v>189</v>
      </c>
      <c r="Q50" t="s">
        <v>189</v>
      </c>
      <c r="R50" t="s">
        <v>14</v>
      </c>
      <c r="S50" t="s">
        <v>189</v>
      </c>
      <c r="T50" t="s">
        <v>15</v>
      </c>
    </row>
    <row r="51" spans="1:20">
      <c r="A51" t="s">
        <v>521</v>
      </c>
      <c r="B51" t="s">
        <v>522</v>
      </c>
      <c r="C51" t="s">
        <v>56</v>
      </c>
      <c r="D51" t="s">
        <v>523</v>
      </c>
      <c r="E51" t="s">
        <v>524</v>
      </c>
      <c r="F51" t="s">
        <v>525</v>
      </c>
      <c r="G51" t="s">
        <v>526</v>
      </c>
      <c r="H51" s="2" t="s">
        <v>527</v>
      </c>
      <c r="I51" t="s">
        <v>73</v>
      </c>
      <c r="J51" t="s">
        <v>48</v>
      </c>
      <c r="K51" t="s">
        <v>245</v>
      </c>
      <c r="L51" t="s">
        <v>528</v>
      </c>
      <c r="M51" t="s">
        <v>529</v>
      </c>
      <c r="N51" t="s">
        <v>530</v>
      </c>
      <c r="O51" s="3">
        <f>HYPERLINK(".\.\export_data\inspection_reports\80480_lancashire", ".\export_data\inspection_reports\80480_lancashire")</f>
        <v>0</v>
      </c>
      <c r="P51" t="s">
        <v>78</v>
      </c>
      <c r="Q51" t="s">
        <v>8</v>
      </c>
      <c r="R51" t="s">
        <v>8</v>
      </c>
      <c r="S51" t="s">
        <v>78</v>
      </c>
      <c r="T51" t="s">
        <v>87</v>
      </c>
    </row>
    <row r="52" spans="1:20">
      <c r="A52" t="s">
        <v>531</v>
      </c>
      <c r="B52" t="s">
        <v>532</v>
      </c>
      <c r="C52" t="s">
        <v>2</v>
      </c>
      <c r="D52" t="s">
        <v>533</v>
      </c>
      <c r="E52" t="s">
        <v>534</v>
      </c>
      <c r="F52" t="s">
        <v>535</v>
      </c>
      <c r="G52" t="s">
        <v>536</v>
      </c>
      <c r="H52" s="2" t="s">
        <v>537</v>
      </c>
      <c r="I52" t="s">
        <v>78</v>
      </c>
      <c r="J52" t="s">
        <v>9</v>
      </c>
      <c r="K52" t="s">
        <v>211</v>
      </c>
      <c r="L52" t="s">
        <v>538</v>
      </c>
      <c r="M52" t="s">
        <v>539</v>
      </c>
      <c r="N52" t="s">
        <v>540</v>
      </c>
      <c r="O52" s="3">
        <f>HYPERLINK(".\.\export_data\inspection_reports\80481_leeds", ".\export_data\inspection_reports\80481_leeds")</f>
        <v>0</v>
      </c>
      <c r="P52" t="s">
        <v>78</v>
      </c>
      <c r="Q52" t="s">
        <v>8</v>
      </c>
      <c r="R52" t="s">
        <v>78</v>
      </c>
      <c r="S52" t="s">
        <v>78</v>
      </c>
      <c r="T52" t="s">
        <v>53</v>
      </c>
    </row>
    <row r="53" spans="1:20">
      <c r="A53" t="s">
        <v>541</v>
      </c>
      <c r="B53" t="s">
        <v>542</v>
      </c>
      <c r="C53" t="s">
        <v>304</v>
      </c>
      <c r="D53" t="s">
        <v>543</v>
      </c>
      <c r="E53" t="s">
        <v>544</v>
      </c>
      <c r="F53" t="s">
        <v>545</v>
      </c>
      <c r="G53" t="s">
        <v>546</v>
      </c>
      <c r="H53" s="2" t="s">
        <v>547</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548</v>
      </c>
      <c r="B54" t="s">
        <v>549</v>
      </c>
      <c r="C54" t="s">
        <v>304</v>
      </c>
      <c r="D54" t="s">
        <v>550</v>
      </c>
      <c r="E54" t="s">
        <v>551</v>
      </c>
      <c r="F54" t="s">
        <v>552</v>
      </c>
      <c r="G54" t="s">
        <v>553</v>
      </c>
      <c r="H54" s="2" t="s">
        <v>554</v>
      </c>
      <c r="I54" t="s">
        <v>78</v>
      </c>
      <c r="J54" t="s">
        <v>48</v>
      </c>
      <c r="K54" t="s">
        <v>371</v>
      </c>
      <c r="L54" t="s">
        <v>555</v>
      </c>
      <c r="M54" t="s">
        <v>556</v>
      </c>
      <c r="N54" t="s">
        <v>432</v>
      </c>
      <c r="O54" s="3">
        <f>HYPERLINK(".\.\export_data\inspection_reports\80483_leicestershire", ".\export_data\inspection_reports\80483_leicestershire")</f>
        <v>0</v>
      </c>
      <c r="P54" t="s">
        <v>78</v>
      </c>
      <c r="Q54" t="s">
        <v>8</v>
      </c>
      <c r="R54" t="s">
        <v>78</v>
      </c>
      <c r="S54" t="s">
        <v>78</v>
      </c>
      <c r="T54" t="s">
        <v>28</v>
      </c>
    </row>
    <row r="55" spans="1:20">
      <c r="A55" t="s">
        <v>557</v>
      </c>
      <c r="B55" t="s">
        <v>558</v>
      </c>
      <c r="C55" t="s">
        <v>304</v>
      </c>
      <c r="D55" t="s">
        <v>559</v>
      </c>
      <c r="E55" t="s">
        <v>560</v>
      </c>
      <c r="F55" t="s">
        <v>561</v>
      </c>
      <c r="G55" t="s">
        <v>562</v>
      </c>
      <c r="H55" s="2" t="s">
        <v>563</v>
      </c>
      <c r="I55" t="s">
        <v>78</v>
      </c>
      <c r="J55" t="s">
        <v>9</v>
      </c>
      <c r="K55" t="s">
        <v>74</v>
      </c>
      <c r="L55" t="s">
        <v>564</v>
      </c>
      <c r="M55" t="s">
        <v>565</v>
      </c>
      <c r="N55" t="s">
        <v>566</v>
      </c>
      <c r="O55" s="3">
        <f>HYPERLINK(".\.\export_data\inspection_reports\80484_lincolnshire", ".\export_data\inspection_reports\80484_lincolnshire")</f>
        <v>0</v>
      </c>
      <c r="P55" t="s">
        <v>78</v>
      </c>
      <c r="Q55" t="s">
        <v>78</v>
      </c>
      <c r="R55" t="s">
        <v>78</v>
      </c>
      <c r="S55" t="s">
        <v>8</v>
      </c>
      <c r="T55" t="s">
        <v>28</v>
      </c>
    </row>
    <row r="56" spans="1:20">
      <c r="A56" t="s">
        <v>567</v>
      </c>
      <c r="B56" t="s">
        <v>568</v>
      </c>
      <c r="C56" t="s">
        <v>56</v>
      </c>
      <c r="D56" t="s">
        <v>569</v>
      </c>
      <c r="E56" t="s">
        <v>570</v>
      </c>
      <c r="F56" t="s">
        <v>571</v>
      </c>
      <c r="G56" t="s">
        <v>572</v>
      </c>
      <c r="H56" s="2" t="s">
        <v>573</v>
      </c>
      <c r="I56" t="s">
        <v>73</v>
      </c>
      <c r="J56" t="s">
        <v>48</v>
      </c>
      <c r="K56" t="s">
        <v>190</v>
      </c>
      <c r="L56" t="s">
        <v>528</v>
      </c>
      <c r="M56" t="s">
        <v>529</v>
      </c>
      <c r="N56" t="s">
        <v>574</v>
      </c>
      <c r="O56" s="3">
        <f>HYPERLINK(".\.\export_data\inspection_reports\80485_liverpool", ".\export_data\inspection_reports\80485_liverpool")</f>
        <v>0</v>
      </c>
      <c r="P56" t="s">
        <v>8</v>
      </c>
      <c r="Q56" t="s">
        <v>8</v>
      </c>
      <c r="R56" t="s">
        <v>8</v>
      </c>
      <c r="S56" t="s">
        <v>14</v>
      </c>
      <c r="T56" t="s">
        <v>53</v>
      </c>
    </row>
    <row r="57" spans="1:20">
      <c r="A57" t="s">
        <v>575</v>
      </c>
      <c r="B57" t="s">
        <v>576</v>
      </c>
      <c r="C57" t="s">
        <v>217</v>
      </c>
      <c r="D57" t="s">
        <v>577</v>
      </c>
      <c r="E57" t="s">
        <v>578</v>
      </c>
      <c r="F57" t="s">
        <v>579</v>
      </c>
      <c r="G57" t="s">
        <v>580</v>
      </c>
      <c r="H57" s="2" t="s">
        <v>581</v>
      </c>
      <c r="I57" t="s">
        <v>14</v>
      </c>
      <c r="J57" t="s">
        <v>48</v>
      </c>
      <c r="K57" t="s">
        <v>106</v>
      </c>
      <c r="L57" t="s">
        <v>582</v>
      </c>
      <c r="M57" t="s">
        <v>583</v>
      </c>
      <c r="N57" t="s">
        <v>584</v>
      </c>
      <c r="O57" s="3">
        <f>HYPERLINK(".\.\export_data\inspection_reports\80486_barking and dagenham", ".\export_data\inspection_reports\80486_barking and dagenham")</f>
        <v>0</v>
      </c>
      <c r="P57" t="s">
        <v>14</v>
      </c>
      <c r="Q57" t="s">
        <v>14</v>
      </c>
      <c r="R57" t="s">
        <v>14</v>
      </c>
      <c r="S57" t="s">
        <v>8</v>
      </c>
      <c r="T57" t="s">
        <v>28</v>
      </c>
    </row>
    <row r="58" spans="1:20">
      <c r="A58" t="s">
        <v>585</v>
      </c>
      <c r="B58" t="s">
        <v>586</v>
      </c>
      <c r="C58" t="s">
        <v>217</v>
      </c>
      <c r="D58" t="s">
        <v>587</v>
      </c>
      <c r="E58" t="s">
        <v>588</v>
      </c>
      <c r="F58" t="s">
        <v>589</v>
      </c>
      <c r="G58" t="s">
        <v>590</v>
      </c>
      <c r="H58" s="2" t="s">
        <v>591</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592</v>
      </c>
      <c r="B59" t="s">
        <v>593</v>
      </c>
      <c r="C59" t="s">
        <v>217</v>
      </c>
      <c r="D59" t="s">
        <v>594</v>
      </c>
      <c r="E59" t="s">
        <v>595</v>
      </c>
      <c r="F59" t="s">
        <v>596</v>
      </c>
      <c r="G59" t="s">
        <v>597</v>
      </c>
      <c r="H59" s="2" t="s">
        <v>598</v>
      </c>
      <c r="I59" t="s">
        <v>78</v>
      </c>
      <c r="J59" t="s">
        <v>9</v>
      </c>
      <c r="K59" t="s">
        <v>390</v>
      </c>
      <c r="L59" t="s">
        <v>599</v>
      </c>
      <c r="M59" t="s">
        <v>381</v>
      </c>
      <c r="N59" t="s">
        <v>382</v>
      </c>
      <c r="O59" s="3">
        <f>HYPERLINK(".\.\export_data\inspection_reports\80488_bexley", ".\export_data\inspection_reports\80488_bexley")</f>
        <v>0</v>
      </c>
      <c r="P59" t="s">
        <v>78</v>
      </c>
      <c r="Q59" t="s">
        <v>8</v>
      </c>
      <c r="R59" t="s">
        <v>8</v>
      </c>
      <c r="S59" t="s">
        <v>78</v>
      </c>
      <c r="T59" t="s">
        <v>394</v>
      </c>
    </row>
    <row r="60" spans="1:20">
      <c r="A60" t="s">
        <v>600</v>
      </c>
      <c r="B60" t="s">
        <v>601</v>
      </c>
      <c r="C60" t="s">
        <v>217</v>
      </c>
      <c r="D60" t="s">
        <v>602</v>
      </c>
      <c r="E60" t="s">
        <v>603</v>
      </c>
      <c r="F60" t="s">
        <v>604</v>
      </c>
      <c r="G60" t="s">
        <v>605</v>
      </c>
      <c r="H60" s="2" t="s">
        <v>606</v>
      </c>
      <c r="I60" t="s">
        <v>73</v>
      </c>
      <c r="J60" t="s">
        <v>9</v>
      </c>
      <c r="K60" t="s">
        <v>607</v>
      </c>
      <c r="L60" t="s">
        <v>608</v>
      </c>
      <c r="M60" t="s">
        <v>609</v>
      </c>
      <c r="N60" t="s">
        <v>610</v>
      </c>
      <c r="O60" s="3">
        <f>HYPERLINK(".\.\export_data\inspection_reports\80489_brent", ".\export_data\inspection_reports\80489_brent")</f>
        <v>0</v>
      </c>
      <c r="P60" t="s">
        <v>8</v>
      </c>
      <c r="Q60" t="s">
        <v>8</v>
      </c>
      <c r="R60" t="s">
        <v>8</v>
      </c>
      <c r="S60" t="s">
        <v>8</v>
      </c>
      <c r="T60" t="s">
        <v>15</v>
      </c>
    </row>
    <row r="61" spans="1:20">
      <c r="A61" t="s">
        <v>611</v>
      </c>
      <c r="B61" t="s">
        <v>612</v>
      </c>
      <c r="C61" t="s">
        <v>217</v>
      </c>
      <c r="D61" t="s">
        <v>613</v>
      </c>
      <c r="E61" t="s">
        <v>614</v>
      </c>
      <c r="F61" t="s">
        <v>615</v>
      </c>
      <c r="G61" t="s">
        <v>616</v>
      </c>
      <c r="H61" s="2" t="s">
        <v>617</v>
      </c>
      <c r="I61" t="s">
        <v>78</v>
      </c>
      <c r="J61" t="s">
        <v>9</v>
      </c>
      <c r="K61" t="s">
        <v>618</v>
      </c>
      <c r="L61" t="s">
        <v>619</v>
      </c>
      <c r="M61" t="s">
        <v>620</v>
      </c>
      <c r="N61" t="s">
        <v>322</v>
      </c>
      <c r="O61" s="3">
        <f>HYPERLINK(".\.\export_data\inspection_reports\80490_bromley", ".\export_data\inspection_reports\80490_bromley")</f>
        <v>0</v>
      </c>
      <c r="P61" t="s">
        <v>78</v>
      </c>
      <c r="Q61" t="s">
        <v>78</v>
      </c>
      <c r="R61" t="s">
        <v>78</v>
      </c>
      <c r="S61" t="s">
        <v>78</v>
      </c>
      <c r="T61" t="s">
        <v>87</v>
      </c>
    </row>
    <row r="62" spans="1:20">
      <c r="A62" t="s">
        <v>621</v>
      </c>
      <c r="B62" t="s">
        <v>622</v>
      </c>
      <c r="C62" t="s">
        <v>217</v>
      </c>
      <c r="D62" t="s">
        <v>623</v>
      </c>
      <c r="E62" t="s">
        <v>624</v>
      </c>
      <c r="F62" t="s">
        <v>625</v>
      </c>
      <c r="G62" t="s">
        <v>626</v>
      </c>
      <c r="H62" s="2" t="s">
        <v>627</v>
      </c>
      <c r="I62" t="s">
        <v>78</v>
      </c>
      <c r="J62" t="s">
        <v>9</v>
      </c>
      <c r="K62" t="s">
        <v>618</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628</v>
      </c>
      <c r="B63" t="s">
        <v>629</v>
      </c>
      <c r="C63" t="s">
        <v>217</v>
      </c>
      <c r="D63" t="s">
        <v>630</v>
      </c>
      <c r="E63" t="s">
        <v>631</v>
      </c>
      <c r="F63" t="s">
        <v>632</v>
      </c>
      <c r="G63" t="s">
        <v>633</v>
      </c>
      <c r="H63" s="2" t="s">
        <v>634</v>
      </c>
      <c r="I63" t="s">
        <v>8</v>
      </c>
      <c r="J63" t="s">
        <v>48</v>
      </c>
      <c r="K63" t="s">
        <v>223</v>
      </c>
      <c r="L63" t="s">
        <v>635</v>
      </c>
      <c r="M63" t="s">
        <v>636</v>
      </c>
      <c r="N63" t="s">
        <v>637</v>
      </c>
      <c r="O63" s="3">
        <f>HYPERLINK(".\.\export_data\inspection_reports\80492_croydon", ".\export_data\inspection_reports\80492_croydon")</f>
        <v>0</v>
      </c>
      <c r="P63" t="s">
        <v>8</v>
      </c>
      <c r="Q63" t="s">
        <v>14</v>
      </c>
      <c r="R63" t="s">
        <v>8</v>
      </c>
      <c r="S63" t="s">
        <v>8</v>
      </c>
      <c r="T63" t="s">
        <v>227</v>
      </c>
    </row>
    <row r="64" spans="1:20">
      <c r="A64" t="s">
        <v>638</v>
      </c>
      <c r="B64" t="s">
        <v>639</v>
      </c>
      <c r="C64" t="s">
        <v>217</v>
      </c>
      <c r="D64" t="s">
        <v>640</v>
      </c>
      <c r="E64" t="s">
        <v>641</v>
      </c>
      <c r="F64" t="s">
        <v>642</v>
      </c>
      <c r="G64" t="s">
        <v>643</v>
      </c>
      <c r="H64" s="2" t="s">
        <v>644</v>
      </c>
      <c r="I64" t="s">
        <v>8</v>
      </c>
      <c r="J64" t="s">
        <v>48</v>
      </c>
      <c r="K64" t="s">
        <v>390</v>
      </c>
      <c r="L64" t="s">
        <v>555</v>
      </c>
      <c r="M64" t="s">
        <v>556</v>
      </c>
      <c r="N64" t="s">
        <v>432</v>
      </c>
      <c r="O64" s="3">
        <f>HYPERLINK(".\.\export_data\inspection_reports\80493_ealing", ".\export_data\inspection_reports\80493_ealing")</f>
        <v>0</v>
      </c>
      <c r="P64" t="s">
        <v>8</v>
      </c>
      <c r="Q64" t="s">
        <v>14</v>
      </c>
      <c r="R64" t="s">
        <v>8</v>
      </c>
      <c r="S64" t="s">
        <v>8</v>
      </c>
      <c r="T64" t="s">
        <v>394</v>
      </c>
    </row>
    <row r="65" spans="1:20">
      <c r="A65" t="s">
        <v>645</v>
      </c>
      <c r="B65" t="s">
        <v>646</v>
      </c>
      <c r="C65" t="s">
        <v>217</v>
      </c>
      <c r="D65" t="s">
        <v>647</v>
      </c>
      <c r="E65" t="s">
        <v>648</v>
      </c>
      <c r="F65" t="s">
        <v>649</v>
      </c>
      <c r="G65" t="s">
        <v>650</v>
      </c>
      <c r="H65" s="2" t="s">
        <v>651</v>
      </c>
      <c r="I65" t="s">
        <v>8</v>
      </c>
      <c r="J65" t="s">
        <v>9</v>
      </c>
      <c r="K65" t="s">
        <v>223</v>
      </c>
      <c r="L65" t="s">
        <v>652</v>
      </c>
      <c r="M65" t="s">
        <v>653</v>
      </c>
      <c r="N65" t="s">
        <v>654</v>
      </c>
      <c r="O65" s="3">
        <f>HYPERLINK(".\.\export_data\inspection_reports\80494_enfield", ".\export_data\inspection_reports\80494_enfield")</f>
        <v>0</v>
      </c>
      <c r="P65" t="s">
        <v>8</v>
      </c>
      <c r="Q65" t="s">
        <v>8</v>
      </c>
      <c r="R65" t="s">
        <v>78</v>
      </c>
      <c r="S65" t="s">
        <v>8</v>
      </c>
      <c r="T65" t="s">
        <v>227</v>
      </c>
    </row>
    <row r="66" spans="1:20">
      <c r="A66" t="s">
        <v>655</v>
      </c>
      <c r="B66" t="s">
        <v>656</v>
      </c>
      <c r="C66" t="s">
        <v>217</v>
      </c>
      <c r="D66" t="s">
        <v>657</v>
      </c>
      <c r="E66" t="s">
        <v>658</v>
      </c>
      <c r="F66" t="s">
        <v>659</v>
      </c>
      <c r="G66" t="s">
        <v>660</v>
      </c>
      <c r="H66" s="2" t="s">
        <v>661</v>
      </c>
      <c r="I66" t="s">
        <v>78</v>
      </c>
      <c r="J66" t="s">
        <v>9</v>
      </c>
      <c r="K66" t="s">
        <v>390</v>
      </c>
      <c r="L66" t="s">
        <v>662</v>
      </c>
      <c r="M66" t="s">
        <v>663</v>
      </c>
      <c r="N66" t="s">
        <v>664</v>
      </c>
      <c r="O66" s="3">
        <f>HYPERLINK(".\.\export_data\inspection_reports\80495_greenwich", ".\export_data\inspection_reports\80495_greenwich")</f>
        <v>0</v>
      </c>
      <c r="P66" t="s">
        <v>78</v>
      </c>
      <c r="Q66" t="s">
        <v>8</v>
      </c>
      <c r="R66" t="s">
        <v>78</v>
      </c>
      <c r="S66" t="s">
        <v>78</v>
      </c>
      <c r="T66" t="s">
        <v>394</v>
      </c>
    </row>
    <row r="67" spans="1:20">
      <c r="A67" t="s">
        <v>665</v>
      </c>
      <c r="B67" t="s">
        <v>666</v>
      </c>
      <c r="C67" t="s">
        <v>217</v>
      </c>
      <c r="D67" t="s">
        <v>667</v>
      </c>
      <c r="E67" t="s">
        <v>668</v>
      </c>
      <c r="F67" t="s">
        <v>669</v>
      </c>
      <c r="G67" t="s">
        <v>670</v>
      </c>
      <c r="H67" s="2" t="s">
        <v>671</v>
      </c>
      <c r="I67" t="s">
        <v>8</v>
      </c>
      <c r="J67" t="s">
        <v>48</v>
      </c>
      <c r="K67" t="s">
        <v>74</v>
      </c>
      <c r="L67" t="s">
        <v>257</v>
      </c>
      <c r="M67" t="s">
        <v>672</v>
      </c>
      <c r="N67" t="s">
        <v>673</v>
      </c>
      <c r="O67" s="3">
        <f>HYPERLINK(".\.\export_data\inspection_reports\80496_hackney", ".\export_data\inspection_reports\80496_hackney")</f>
        <v>0</v>
      </c>
      <c r="P67" t="s">
        <v>8</v>
      </c>
      <c r="Q67" t="s">
        <v>8</v>
      </c>
      <c r="R67" t="s">
        <v>8</v>
      </c>
      <c r="S67" t="s">
        <v>14</v>
      </c>
      <c r="T67" t="s">
        <v>28</v>
      </c>
    </row>
    <row r="68" spans="1:20">
      <c r="A68" t="s">
        <v>674</v>
      </c>
      <c r="B68" t="s">
        <v>675</v>
      </c>
      <c r="C68" t="s">
        <v>217</v>
      </c>
      <c r="D68" t="s">
        <v>676</v>
      </c>
      <c r="E68" t="s">
        <v>677</v>
      </c>
      <c r="F68" t="s">
        <v>678</v>
      </c>
      <c r="G68" t="s">
        <v>679</v>
      </c>
      <c r="H68" s="2" t="s">
        <v>680</v>
      </c>
      <c r="I68" t="s">
        <v>78</v>
      </c>
      <c r="J68" t="s">
        <v>9</v>
      </c>
      <c r="K68" t="s">
        <v>223</v>
      </c>
      <c r="L68" t="s">
        <v>681</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682</v>
      </c>
      <c r="B69" t="s">
        <v>683</v>
      </c>
      <c r="C69" t="s">
        <v>217</v>
      </c>
      <c r="D69" t="s">
        <v>684</v>
      </c>
      <c r="E69" t="s">
        <v>685</v>
      </c>
      <c r="F69" t="s">
        <v>686</v>
      </c>
      <c r="G69" t="s">
        <v>687</v>
      </c>
      <c r="H69" s="2" t="s">
        <v>688</v>
      </c>
      <c r="I69" t="s">
        <v>78</v>
      </c>
      <c r="J69" t="s">
        <v>9</v>
      </c>
      <c r="K69" t="s">
        <v>223</v>
      </c>
      <c r="L69" t="s">
        <v>212</v>
      </c>
      <c r="M69" t="s">
        <v>689</v>
      </c>
      <c r="N69" t="s">
        <v>690</v>
      </c>
      <c r="O69" s="3">
        <f>HYPERLINK(".\.\export_data\inspection_reports\80498_haringey", ".\export_data\inspection_reports\80498_haringey")</f>
        <v>0</v>
      </c>
      <c r="P69" t="s">
        <v>78</v>
      </c>
      <c r="Q69" t="s">
        <v>8</v>
      </c>
      <c r="R69" t="s">
        <v>8</v>
      </c>
      <c r="S69" t="s">
        <v>78</v>
      </c>
      <c r="T69" t="s">
        <v>227</v>
      </c>
    </row>
    <row r="70" spans="1:20">
      <c r="A70" t="s">
        <v>691</v>
      </c>
      <c r="B70" t="s">
        <v>692</v>
      </c>
      <c r="C70" t="s">
        <v>217</v>
      </c>
      <c r="D70" t="s">
        <v>693</v>
      </c>
      <c r="E70" t="s">
        <v>694</v>
      </c>
      <c r="F70" t="s">
        <v>695</v>
      </c>
      <c r="G70" t="s">
        <v>696</v>
      </c>
      <c r="H70" s="2" t="s">
        <v>697</v>
      </c>
      <c r="I70" t="s">
        <v>189</v>
      </c>
      <c r="J70" t="s">
        <v>9</v>
      </c>
      <c r="K70" t="s">
        <v>517</v>
      </c>
      <c r="L70" t="s">
        <v>341</v>
      </c>
      <c r="M70" t="s">
        <v>698</v>
      </c>
      <c r="N70" t="s">
        <v>699</v>
      </c>
      <c r="O70" s="3">
        <f>HYPERLINK(".\.\export_data\inspection_reports\80499_harrow", ".\export_data\inspection_reports\80499_harrow")</f>
        <v>0</v>
      </c>
      <c r="P70" t="s">
        <v>14</v>
      </c>
      <c r="Q70" t="s">
        <v>8</v>
      </c>
      <c r="R70" t="s">
        <v>8</v>
      </c>
      <c r="S70" t="s">
        <v>189</v>
      </c>
      <c r="T70" t="s">
        <v>15</v>
      </c>
    </row>
    <row r="71" spans="1:20">
      <c r="A71" t="s">
        <v>700</v>
      </c>
      <c r="B71" t="s">
        <v>701</v>
      </c>
      <c r="C71" t="s">
        <v>217</v>
      </c>
      <c r="D71" t="s">
        <v>702</v>
      </c>
      <c r="E71" t="s">
        <v>703</v>
      </c>
      <c r="F71" t="s">
        <v>704</v>
      </c>
      <c r="G71" t="s">
        <v>705</v>
      </c>
      <c r="H71" s="2" t="s">
        <v>706</v>
      </c>
      <c r="I71" t="s">
        <v>189</v>
      </c>
      <c r="J71" t="s">
        <v>48</v>
      </c>
      <c r="K71" t="s">
        <v>618</v>
      </c>
      <c r="L71" t="s">
        <v>391</v>
      </c>
      <c r="M71" t="s">
        <v>707</v>
      </c>
      <c r="N71" t="s">
        <v>708</v>
      </c>
      <c r="O71" s="3">
        <f>HYPERLINK(".\.\export_data\inspection_reports\80500_havering", ".\export_data\inspection_reports\80500_havering")</f>
        <v>0</v>
      </c>
      <c r="P71" t="s">
        <v>189</v>
      </c>
      <c r="Q71" t="s">
        <v>189</v>
      </c>
      <c r="R71" t="s">
        <v>189</v>
      </c>
      <c r="S71" t="s">
        <v>14</v>
      </c>
      <c r="T71" t="s">
        <v>87</v>
      </c>
    </row>
    <row r="72" spans="1:20">
      <c r="A72" t="s">
        <v>709</v>
      </c>
      <c r="B72" t="s">
        <v>710</v>
      </c>
      <c r="C72" t="s">
        <v>217</v>
      </c>
      <c r="D72" t="s">
        <v>711</v>
      </c>
      <c r="E72" t="s">
        <v>712</v>
      </c>
      <c r="F72" t="s">
        <v>713</v>
      </c>
      <c r="G72" t="s">
        <v>714</v>
      </c>
      <c r="H72" s="2" t="s">
        <v>715</v>
      </c>
      <c r="I72" t="s">
        <v>78</v>
      </c>
      <c r="J72" t="s">
        <v>9</v>
      </c>
      <c r="K72" t="s">
        <v>223</v>
      </c>
      <c r="L72" t="s">
        <v>716</v>
      </c>
      <c r="M72" t="s">
        <v>717</v>
      </c>
      <c r="N72" t="s">
        <v>718</v>
      </c>
      <c r="O72" s="3">
        <f>HYPERLINK(".\.\export_data\inspection_reports\80501_hillingdon", ".\export_data\inspection_reports\80501_hillingdon")</f>
        <v>0</v>
      </c>
      <c r="P72" t="s">
        <v>78</v>
      </c>
      <c r="Q72" t="s">
        <v>8</v>
      </c>
      <c r="R72" t="s">
        <v>78</v>
      </c>
      <c r="S72" t="s">
        <v>8</v>
      </c>
      <c r="T72" t="s">
        <v>227</v>
      </c>
    </row>
    <row r="73" spans="1:20">
      <c r="A73" t="s">
        <v>719</v>
      </c>
      <c r="B73" t="s">
        <v>720</v>
      </c>
      <c r="C73" t="s">
        <v>217</v>
      </c>
      <c r="D73" t="s">
        <v>721</v>
      </c>
      <c r="E73" t="s">
        <v>722</v>
      </c>
      <c r="F73" t="s">
        <v>723</v>
      </c>
      <c r="G73" t="s">
        <v>724</v>
      </c>
      <c r="H73" s="2" t="s">
        <v>725</v>
      </c>
      <c r="I73" t="s">
        <v>8</v>
      </c>
      <c r="J73" t="s">
        <v>9</v>
      </c>
      <c r="K73" t="s">
        <v>139</v>
      </c>
      <c r="L73" t="s">
        <v>726</v>
      </c>
      <c r="M73" t="s">
        <v>727</v>
      </c>
      <c r="N73" t="s">
        <v>728</v>
      </c>
      <c r="O73" s="3">
        <f>HYPERLINK(".\.\export_data\inspection_reports\80503_hounslow", ".\export_data\inspection_reports\80503_hounslow")</f>
        <v>0</v>
      </c>
      <c r="P73" t="s">
        <v>78</v>
      </c>
      <c r="Q73" t="s">
        <v>8</v>
      </c>
      <c r="R73" t="s">
        <v>8</v>
      </c>
      <c r="S73" t="s">
        <v>8</v>
      </c>
      <c r="T73" t="s">
        <v>87</v>
      </c>
    </row>
    <row r="74" spans="1:20">
      <c r="A74" t="s">
        <v>729</v>
      </c>
      <c r="B74" t="s">
        <v>730</v>
      </c>
      <c r="C74" t="s">
        <v>217</v>
      </c>
      <c r="D74" t="s">
        <v>731</v>
      </c>
      <c r="E74" t="s">
        <v>732</v>
      </c>
      <c r="F74" t="s">
        <v>733</v>
      </c>
      <c r="G74" t="s">
        <v>734</v>
      </c>
      <c r="H74" s="2" t="s">
        <v>735</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736</v>
      </c>
      <c r="B75" t="s">
        <v>737</v>
      </c>
      <c r="C75" t="s">
        <v>217</v>
      </c>
      <c r="D75" t="s">
        <v>738</v>
      </c>
      <c r="E75" t="s">
        <v>739</v>
      </c>
      <c r="F75" t="s">
        <v>740</v>
      </c>
      <c r="G75" t="s">
        <v>741</v>
      </c>
      <c r="H75" s="2" t="s">
        <v>742</v>
      </c>
      <c r="I75" t="s">
        <v>8</v>
      </c>
      <c r="J75" t="s">
        <v>48</v>
      </c>
      <c r="K75" t="s">
        <v>743</v>
      </c>
      <c r="L75" t="s">
        <v>212</v>
      </c>
      <c r="M75" t="s">
        <v>213</v>
      </c>
      <c r="N75" t="s">
        <v>744</v>
      </c>
      <c r="O75" s="3">
        <f>HYPERLINK(".\.\export_data\inspection_reports\80506_lambeth", ".\export_data\inspection_reports\80506_lambeth")</f>
        <v>0</v>
      </c>
      <c r="P75" t="s">
        <v>8</v>
      </c>
      <c r="Q75" t="s">
        <v>14</v>
      </c>
      <c r="R75" t="s">
        <v>8</v>
      </c>
      <c r="S75" t="s">
        <v>78</v>
      </c>
      <c r="T75" t="s">
        <v>53</v>
      </c>
    </row>
    <row r="76" spans="1:20">
      <c r="A76" t="s">
        <v>745</v>
      </c>
      <c r="B76" t="s">
        <v>746</v>
      </c>
      <c r="C76" t="s">
        <v>217</v>
      </c>
      <c r="D76" t="s">
        <v>747</v>
      </c>
      <c r="E76" t="s">
        <v>748</v>
      </c>
      <c r="F76" t="s">
        <v>749</v>
      </c>
      <c r="G76" t="s">
        <v>750</v>
      </c>
      <c r="H76" s="2" t="s">
        <v>751</v>
      </c>
      <c r="I76" t="s">
        <v>8</v>
      </c>
      <c r="J76" t="s">
        <v>48</v>
      </c>
      <c r="K76" t="s">
        <v>752</v>
      </c>
      <c r="L76" t="s">
        <v>753</v>
      </c>
      <c r="M76" t="s">
        <v>392</v>
      </c>
      <c r="N76" t="s">
        <v>754</v>
      </c>
      <c r="O76" s="3">
        <f>HYPERLINK(".\.\export_data\inspection_reports\80508_lewisham", ".\export_data\inspection_reports\80508_lewisham")</f>
        <v>0</v>
      </c>
      <c r="P76" t="s">
        <v>8</v>
      </c>
      <c r="Q76" t="s">
        <v>8</v>
      </c>
      <c r="R76" t="s">
        <v>8</v>
      </c>
      <c r="S76" t="s">
        <v>8</v>
      </c>
      <c r="T76" t="s">
        <v>53</v>
      </c>
    </row>
    <row r="77" spans="1:20">
      <c r="A77" t="s">
        <v>755</v>
      </c>
      <c r="B77" t="s">
        <v>756</v>
      </c>
      <c r="C77" t="s">
        <v>217</v>
      </c>
      <c r="D77" t="s">
        <v>757</v>
      </c>
      <c r="E77" t="s">
        <v>758</v>
      </c>
      <c r="F77" t="s">
        <v>759</v>
      </c>
      <c r="G77" t="s">
        <v>760</v>
      </c>
      <c r="H77" s="2" t="s">
        <v>761</v>
      </c>
      <c r="I77" t="s">
        <v>78</v>
      </c>
      <c r="J77" t="s">
        <v>9</v>
      </c>
      <c r="K77" t="s">
        <v>618</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762</v>
      </c>
      <c r="B78" t="s">
        <v>763</v>
      </c>
      <c r="C78" t="s">
        <v>217</v>
      </c>
      <c r="D78" t="s">
        <v>764</v>
      </c>
      <c r="E78" t="s">
        <v>765</v>
      </c>
      <c r="F78" t="s">
        <v>766</v>
      </c>
      <c r="G78" t="s">
        <v>767</v>
      </c>
      <c r="H78" s="2" t="s">
        <v>768</v>
      </c>
      <c r="I78" t="s">
        <v>78</v>
      </c>
      <c r="J78" t="s">
        <v>9</v>
      </c>
      <c r="K78" t="s">
        <v>371</v>
      </c>
      <c r="L78" t="s">
        <v>460</v>
      </c>
      <c r="M78" t="s">
        <v>769</v>
      </c>
      <c r="N78" t="s">
        <v>462</v>
      </c>
      <c r="O78" s="3">
        <f>HYPERLINK(".\.\export_data\inspection_reports\80511_newham", ".\export_data\inspection_reports\80511_newham")</f>
        <v>0</v>
      </c>
      <c r="P78" t="s">
        <v>78</v>
      </c>
      <c r="Q78" t="s">
        <v>78</v>
      </c>
      <c r="R78" t="s">
        <v>78</v>
      </c>
      <c r="S78" t="s">
        <v>78</v>
      </c>
      <c r="T78" t="s">
        <v>28</v>
      </c>
    </row>
    <row r="79" spans="1:20">
      <c r="A79" t="s">
        <v>770</v>
      </c>
      <c r="B79" t="s">
        <v>771</v>
      </c>
      <c r="C79" t="s">
        <v>217</v>
      </c>
      <c r="D79" t="s">
        <v>772</v>
      </c>
      <c r="E79" t="s">
        <v>773</v>
      </c>
      <c r="F79" t="s">
        <v>774</v>
      </c>
      <c r="G79" t="s">
        <v>775</v>
      </c>
      <c r="H79" s="2" t="s">
        <v>776</v>
      </c>
      <c r="I79" t="s">
        <v>78</v>
      </c>
      <c r="J79" t="s">
        <v>9</v>
      </c>
      <c r="K79" t="s">
        <v>777</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778</v>
      </c>
      <c r="B80" t="s">
        <v>779</v>
      </c>
      <c r="C80" t="s">
        <v>217</v>
      </c>
      <c r="D80" t="s">
        <v>780</v>
      </c>
      <c r="E80" t="s">
        <v>781</v>
      </c>
      <c r="F80" t="s">
        <v>782</v>
      </c>
      <c r="G80" t="s">
        <v>783</v>
      </c>
      <c r="H80" s="2" t="s">
        <v>784</v>
      </c>
      <c r="I80" t="s">
        <v>78</v>
      </c>
      <c r="J80" t="s">
        <v>9</v>
      </c>
      <c r="K80" t="s">
        <v>139</v>
      </c>
      <c r="L80" t="s">
        <v>538</v>
      </c>
      <c r="M80" t="s">
        <v>539</v>
      </c>
      <c r="N80" t="s">
        <v>540</v>
      </c>
      <c r="O80" s="3">
        <f>HYPERLINK(".\.\export_data\inspection_reports\80513_richmond upon thames", ".\export_data\inspection_reports\80513_richmond upon thames")</f>
        <v>0</v>
      </c>
      <c r="P80" t="s">
        <v>78</v>
      </c>
      <c r="Q80" t="s">
        <v>8</v>
      </c>
      <c r="R80" t="s">
        <v>78</v>
      </c>
      <c r="S80" t="s">
        <v>78</v>
      </c>
      <c r="T80" t="s">
        <v>87</v>
      </c>
    </row>
    <row r="81" spans="1:20">
      <c r="A81" t="s">
        <v>785</v>
      </c>
      <c r="B81" t="s">
        <v>786</v>
      </c>
      <c r="C81" t="s">
        <v>217</v>
      </c>
      <c r="D81" t="s">
        <v>787</v>
      </c>
      <c r="E81" t="s">
        <v>788</v>
      </c>
      <c r="F81" t="s">
        <v>789</v>
      </c>
      <c r="G81" t="s">
        <v>790</v>
      </c>
      <c r="H81" s="2" t="s">
        <v>791</v>
      </c>
      <c r="I81" t="s">
        <v>8</v>
      </c>
      <c r="J81" t="s">
        <v>9</v>
      </c>
      <c r="K81" t="s">
        <v>743</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792</v>
      </c>
      <c r="B82" t="s">
        <v>793</v>
      </c>
      <c r="C82" t="s">
        <v>217</v>
      </c>
      <c r="D82" t="s">
        <v>794</v>
      </c>
      <c r="E82" t="s">
        <v>795</v>
      </c>
      <c r="F82" t="s">
        <v>796</v>
      </c>
      <c r="G82" t="s">
        <v>797</v>
      </c>
      <c r="H82" s="2" t="s">
        <v>798</v>
      </c>
      <c r="I82" t="s">
        <v>8</v>
      </c>
      <c r="J82" t="s">
        <v>9</v>
      </c>
      <c r="K82" t="s">
        <v>62</v>
      </c>
      <c r="L82" t="s">
        <v>799</v>
      </c>
      <c r="M82" t="s">
        <v>151</v>
      </c>
      <c r="N82" t="s">
        <v>152</v>
      </c>
      <c r="O82" s="3">
        <f>HYPERLINK(".\.\export_data\inspection_reports\80515_sutton", ".\export_data\inspection_reports\80515_sutton")</f>
        <v>0</v>
      </c>
      <c r="P82" t="s">
        <v>8</v>
      </c>
      <c r="Q82" t="s">
        <v>8</v>
      </c>
      <c r="R82" t="s">
        <v>8</v>
      </c>
      <c r="S82" t="s">
        <v>8</v>
      </c>
      <c r="T82" t="s">
        <v>53</v>
      </c>
    </row>
    <row r="83" spans="1:20">
      <c r="A83" t="s">
        <v>800</v>
      </c>
      <c r="B83" t="s">
        <v>801</v>
      </c>
      <c r="C83" t="s">
        <v>217</v>
      </c>
      <c r="D83" t="s">
        <v>802</v>
      </c>
      <c r="E83" t="s">
        <v>803</v>
      </c>
      <c r="F83" t="s">
        <v>804</v>
      </c>
      <c r="G83" t="s">
        <v>805</v>
      </c>
      <c r="H83" s="2" t="s">
        <v>806</v>
      </c>
      <c r="I83" t="s">
        <v>78</v>
      </c>
      <c r="J83" t="s">
        <v>9</v>
      </c>
      <c r="K83" t="s">
        <v>24</v>
      </c>
      <c r="L83" t="s">
        <v>807</v>
      </c>
      <c r="M83" t="s">
        <v>808</v>
      </c>
      <c r="N83" t="s">
        <v>809</v>
      </c>
      <c r="O83" s="3">
        <f>HYPERLINK(".\.\export_data\inspection_reports\80516_tower hamlets", ".\export_data\inspection_reports\80516_tower hamlets")</f>
        <v>0</v>
      </c>
      <c r="P83" t="s">
        <v>78</v>
      </c>
      <c r="Q83" t="s">
        <v>8</v>
      </c>
      <c r="R83" t="s">
        <v>8</v>
      </c>
      <c r="S83" t="s">
        <v>78</v>
      </c>
      <c r="T83" t="s">
        <v>28</v>
      </c>
    </row>
    <row r="84" spans="1:20">
      <c r="A84" t="s">
        <v>810</v>
      </c>
      <c r="B84" t="s">
        <v>811</v>
      </c>
      <c r="C84" t="s">
        <v>217</v>
      </c>
      <c r="D84" t="s">
        <v>812</v>
      </c>
      <c r="E84" t="s">
        <v>813</v>
      </c>
      <c r="F84" t="s">
        <v>814</v>
      </c>
      <c r="G84" t="s">
        <v>815</v>
      </c>
      <c r="H84" s="2" t="s">
        <v>816</v>
      </c>
      <c r="I84" t="s">
        <v>8</v>
      </c>
      <c r="J84" t="s">
        <v>9</v>
      </c>
      <c r="K84" t="s">
        <v>817</v>
      </c>
      <c r="L84" t="s">
        <v>509</v>
      </c>
      <c r="M84" t="s">
        <v>672</v>
      </c>
      <c r="N84" t="s">
        <v>673</v>
      </c>
      <c r="O84" s="3">
        <f>HYPERLINK(".\.\export_data\inspection_reports\80517_waltham forest", ".\export_data\inspection_reports\80517_waltham forest")</f>
        <v>0</v>
      </c>
      <c r="P84" t="s">
        <v>8</v>
      </c>
      <c r="Q84" t="s">
        <v>8</v>
      </c>
      <c r="R84" t="s">
        <v>78</v>
      </c>
      <c r="S84" t="s">
        <v>8</v>
      </c>
      <c r="T84" t="s">
        <v>120</v>
      </c>
    </row>
    <row r="85" spans="1:20">
      <c r="A85" t="s">
        <v>818</v>
      </c>
      <c r="B85" t="s">
        <v>819</v>
      </c>
      <c r="C85" t="s">
        <v>217</v>
      </c>
      <c r="D85" t="s">
        <v>820</v>
      </c>
      <c r="E85" t="s">
        <v>821</v>
      </c>
      <c r="F85" t="s">
        <v>822</v>
      </c>
      <c r="G85" t="s">
        <v>823</v>
      </c>
      <c r="H85" s="2" t="s">
        <v>824</v>
      </c>
      <c r="I85" t="s">
        <v>78</v>
      </c>
      <c r="J85" t="s">
        <v>9</v>
      </c>
      <c r="K85" t="s">
        <v>607</v>
      </c>
      <c r="L85" t="s">
        <v>500</v>
      </c>
      <c r="M85" t="s">
        <v>825</v>
      </c>
      <c r="N85" t="s">
        <v>280</v>
      </c>
      <c r="O85" s="3">
        <f>HYPERLINK(".\.\export_data\inspection_reports\80518_wandsworth", ".\export_data\inspection_reports\80518_wandsworth")</f>
        <v>0</v>
      </c>
      <c r="P85" t="s">
        <v>78</v>
      </c>
      <c r="Q85" t="s">
        <v>78</v>
      </c>
      <c r="R85" t="s">
        <v>78</v>
      </c>
      <c r="S85" t="s">
        <v>78</v>
      </c>
      <c r="T85" t="s">
        <v>15</v>
      </c>
    </row>
    <row r="86" spans="1:20">
      <c r="A86" t="s">
        <v>826</v>
      </c>
      <c r="B86" t="s">
        <v>827</v>
      </c>
      <c r="C86" t="s">
        <v>217</v>
      </c>
      <c r="D86" t="s">
        <v>828</v>
      </c>
      <c r="E86" t="s">
        <v>829</v>
      </c>
      <c r="F86" t="s">
        <v>830</v>
      </c>
      <c r="G86" t="s">
        <v>831</v>
      </c>
      <c r="H86" s="2" t="s">
        <v>832</v>
      </c>
      <c r="I86" t="s">
        <v>78</v>
      </c>
      <c r="J86" t="s">
        <v>9</v>
      </c>
      <c r="K86" t="s">
        <v>106</v>
      </c>
      <c r="L86" t="s">
        <v>807</v>
      </c>
      <c r="M86" t="s">
        <v>808</v>
      </c>
      <c r="N86" t="s">
        <v>809</v>
      </c>
      <c r="O86" s="3">
        <f>HYPERLINK(".\.\export_data\inspection_reports\80519_westminster", ".\export_data\inspection_reports\80519_westminster")</f>
        <v>0</v>
      </c>
      <c r="P86" t="s">
        <v>78</v>
      </c>
      <c r="Q86" t="s">
        <v>78</v>
      </c>
      <c r="R86" t="s">
        <v>78</v>
      </c>
      <c r="S86" t="s">
        <v>78</v>
      </c>
      <c r="T86" t="s">
        <v>28</v>
      </c>
    </row>
    <row r="87" spans="1:20">
      <c r="A87" t="s">
        <v>833</v>
      </c>
      <c r="B87" t="s">
        <v>834</v>
      </c>
      <c r="C87" t="s">
        <v>31</v>
      </c>
      <c r="D87" t="s">
        <v>835</v>
      </c>
      <c r="E87" t="s">
        <v>836</v>
      </c>
      <c r="F87" t="s">
        <v>837</v>
      </c>
      <c r="G87" t="s">
        <v>838</v>
      </c>
      <c r="H87" s="2" t="s">
        <v>839</v>
      </c>
      <c r="I87" t="s">
        <v>8</v>
      </c>
      <c r="J87" t="s">
        <v>48</v>
      </c>
      <c r="K87" t="s">
        <v>150</v>
      </c>
      <c r="L87" t="s">
        <v>840</v>
      </c>
      <c r="M87" t="s">
        <v>841</v>
      </c>
      <c r="N87" t="s">
        <v>744</v>
      </c>
      <c r="O87" s="3">
        <f>HYPERLINK(".\.\export_data\inspection_reports\80520_luton", ".\export_data\inspection_reports\80520_luton")</f>
        <v>0</v>
      </c>
      <c r="P87" t="s">
        <v>8</v>
      </c>
      <c r="Q87" t="s">
        <v>8</v>
      </c>
      <c r="R87" t="s">
        <v>8</v>
      </c>
      <c r="S87" t="s">
        <v>14</v>
      </c>
      <c r="T87" t="s">
        <v>53</v>
      </c>
    </row>
    <row r="88" spans="1:20">
      <c r="A88" t="s">
        <v>842</v>
      </c>
      <c r="B88" t="s">
        <v>843</v>
      </c>
      <c r="C88" t="s">
        <v>56</v>
      </c>
      <c r="D88" t="s">
        <v>844</v>
      </c>
      <c r="E88" t="s">
        <v>845</v>
      </c>
      <c r="F88" t="s">
        <v>846</v>
      </c>
      <c r="G88" t="s">
        <v>847</v>
      </c>
      <c r="H88" s="2" t="s">
        <v>848</v>
      </c>
      <c r="I88" t="s">
        <v>78</v>
      </c>
      <c r="J88" t="s">
        <v>48</v>
      </c>
      <c r="K88" t="s">
        <v>277</v>
      </c>
      <c r="L88" t="s">
        <v>849</v>
      </c>
      <c r="M88" t="s">
        <v>850</v>
      </c>
      <c r="N88" t="s">
        <v>851</v>
      </c>
      <c r="O88" s="3">
        <f>HYPERLINK(".\.\export_data\inspection_reports\80521_manchester", ".\export_data\inspection_reports\80521_manchester")</f>
        <v>0</v>
      </c>
      <c r="P88" t="s">
        <v>78</v>
      </c>
      <c r="Q88" t="s">
        <v>8</v>
      </c>
      <c r="R88" t="s">
        <v>78</v>
      </c>
      <c r="S88" t="s">
        <v>78</v>
      </c>
      <c r="T88" t="s">
        <v>53</v>
      </c>
    </row>
    <row r="89" spans="1:20">
      <c r="A89" t="s">
        <v>852</v>
      </c>
      <c r="B89" t="s">
        <v>853</v>
      </c>
      <c r="C89" t="s">
        <v>470</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777</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508</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528</v>
      </c>
      <c r="M96" t="s">
        <v>529</v>
      </c>
      <c r="N96" t="s">
        <v>574</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807</v>
      </c>
      <c r="M98" t="s">
        <v>808</v>
      </c>
      <c r="N98" t="s">
        <v>809</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752</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517</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752</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555</v>
      </c>
      <c r="M108" t="s">
        <v>556</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490</v>
      </c>
      <c r="M111" t="s">
        <v>491</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807</v>
      </c>
      <c r="M112" t="s">
        <v>808</v>
      </c>
      <c r="N112" t="s">
        <v>809</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752</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618</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508</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607</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539</v>
      </c>
      <c r="N118" t="s">
        <v>540</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508</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743</v>
      </c>
      <c r="L120" t="s">
        <v>1116</v>
      </c>
      <c r="M120" t="s">
        <v>539</v>
      </c>
      <c r="N120" t="s">
        <v>540</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618</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490</v>
      </c>
      <c r="M122" t="s">
        <v>769</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608</v>
      </c>
      <c r="M123" t="s">
        <v>609</v>
      </c>
      <c r="N123" t="s">
        <v>610</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662</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635</v>
      </c>
      <c r="M127" t="s">
        <v>636</v>
      </c>
      <c r="N127" t="s">
        <v>637</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582</v>
      </c>
      <c r="M128" t="s">
        <v>583</v>
      </c>
      <c r="N128" t="s">
        <v>584</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662</v>
      </c>
      <c r="M133" t="s">
        <v>663</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508</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753</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556</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508</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489</v>
      </c>
      <c r="L140" t="s">
        <v>212</v>
      </c>
      <c r="M140" t="s">
        <v>689</v>
      </c>
      <c r="N140" t="s">
        <v>690</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528</v>
      </c>
      <c r="M146" t="s">
        <v>529</v>
      </c>
      <c r="N146" t="s">
        <v>574</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555</v>
      </c>
      <c r="M148" t="s">
        <v>556</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743</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841</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2026-08-26T05:29:18Z</dcterms:created>
  <dcterms:modified xsi:type="dcterms:W3CDTF">2026-08-26T05:29:18Z</dcterms:modified>
</cp:coreProperties>
</file>