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<sst xmlns="http://schemas.openxmlformats.org/spreadsheetml/2006/main" count="2923" uniqueCount="1432">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</sst>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28</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66</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66</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28</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66</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28</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74</v>
      </c>
      <c r="J51" t="s">
        <v>48</v>
      </c>
      <c r="K51" t="s">
        <v>245</v>
      </c>
      <c r="L51" t="s">
        <v>527</v>
      </c>
      <c r="M51" t="s">
        <v>528</v>
      </c>
      <c r="N51" t="s">
        <v>529</v>
      </c>
      <c r="O51" s="3">
        <f>HYPERLINK(".\.\export_data\inspection_reports\80480_lancashire", ".\export_data\inspection_reports\80480_lancashire")</f>
        <v>0</v>
      </c>
      <c r="P51" t="s">
        <v>79</v>
      </c>
      <c r="Q51" t="s">
        <v>8</v>
      </c>
      <c r="R51" t="s">
        <v>8</v>
      </c>
      <c r="S51" t="s">
        <v>79</v>
      </c>
      <c r="T51" t="s">
        <v>28</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15</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53</v>
      </c>
    </row>
    <row r="58" spans="1:20">
      <c r="A58" t="s">
        <v>584</v>
      </c>
      <c r="B58" t="s">
        <v>585</v>
      </c>
      <c r="C58" t="s">
        <v>217</v>
      </c>
      <c r="D58" t="s">
        <v>586</v>
      </c>
      <c r="E58" t="s">
        <v>587</v>
      </c>
      <c r="F58" t="s">
        <v>588</v>
      </c>
      <c r="G58" t="s">
        <v>589</v>
      </c>
      <c r="H58" s="2" t="s">
        <v>590</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591</v>
      </c>
      <c r="B59" t="s">
        <v>592</v>
      </c>
      <c r="C59" t="s">
        <v>217</v>
      </c>
      <c r="D59" t="s">
        <v>593</v>
      </c>
      <c r="E59" t="s">
        <v>594</v>
      </c>
      <c r="F59" t="s">
        <v>595</v>
      </c>
      <c r="G59" t="s">
        <v>596</v>
      </c>
      <c r="H59" s="2" t="s">
        <v>597</v>
      </c>
      <c r="I59" t="s">
        <v>79</v>
      </c>
      <c r="J59" t="s">
        <v>9</v>
      </c>
      <c r="K59" t="s">
        <v>391</v>
      </c>
      <c r="L59" t="s">
        <v>598</v>
      </c>
      <c r="M59" t="s">
        <v>382</v>
      </c>
      <c r="N59" t="s">
        <v>383</v>
      </c>
      <c r="O59" s="3">
        <f>HYPERLINK(".\.\export_data\inspection_reports\80488_bexley", ".\export_data\inspection_reports\80488_bexley")</f>
        <v>0</v>
      </c>
      <c r="P59" t="s">
        <v>79</v>
      </c>
      <c r="Q59" t="s">
        <v>8</v>
      </c>
      <c r="R59" t="s">
        <v>8</v>
      </c>
      <c r="S59" t="s">
        <v>79</v>
      </c>
      <c r="T59" t="s">
        <v>395</v>
      </c>
    </row>
    <row r="60" spans="1:20">
      <c r="A60" t="s">
        <v>599</v>
      </c>
      <c r="B60" t="s">
        <v>600</v>
      </c>
      <c r="C60" t="s">
        <v>217</v>
      </c>
      <c r="D60" t="s">
        <v>601</v>
      </c>
      <c r="E60" t="s">
        <v>602</v>
      </c>
      <c r="F60" t="s">
        <v>603</v>
      </c>
      <c r="G60" t="s">
        <v>604</v>
      </c>
      <c r="H60" s="2" t="s">
        <v>605</v>
      </c>
      <c r="I60" t="s">
        <v>74</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79</v>
      </c>
      <c r="J61" t="s">
        <v>9</v>
      </c>
      <c r="K61" t="s">
        <v>617</v>
      </c>
      <c r="L61" t="s">
        <v>618</v>
      </c>
      <c r="M61" t="s">
        <v>619</v>
      </c>
      <c r="N61" t="s">
        <v>322</v>
      </c>
      <c r="O61" s="3">
        <f>HYPERLINK(".\.\export_data\inspection_reports\80490_bromley", ".\export_data\inspection_reports\80490_bromley")</f>
        <v>0</v>
      </c>
      <c r="P61" t="s">
        <v>79</v>
      </c>
      <c r="Q61" t="s">
        <v>79</v>
      </c>
      <c r="R61" t="s">
        <v>79</v>
      </c>
      <c r="S61" t="s">
        <v>79</v>
      </c>
      <c r="T61" t="s">
        <v>53</v>
      </c>
    </row>
    <row r="62" spans="1:20">
      <c r="A62" t="s">
        <v>620</v>
      </c>
      <c r="B62" t="s">
        <v>621</v>
      </c>
      <c r="C62" t="s">
        <v>217</v>
      </c>
      <c r="D62" t="s">
        <v>622</v>
      </c>
      <c r="E62" t="s">
        <v>623</v>
      </c>
      <c r="F62" t="s">
        <v>624</v>
      </c>
      <c r="G62" t="s">
        <v>625</v>
      </c>
      <c r="H62" s="2" t="s">
        <v>626</v>
      </c>
      <c r="I62" t="s">
        <v>79</v>
      </c>
      <c r="J62" t="s">
        <v>9</v>
      </c>
      <c r="K62" t="s">
        <v>617</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79</v>
      </c>
      <c r="S65" t="s">
        <v>8</v>
      </c>
      <c r="T65" t="s">
        <v>227</v>
      </c>
    </row>
    <row r="66" spans="1:20">
      <c r="A66" t="s">
        <v>654</v>
      </c>
      <c r="B66" t="s">
        <v>655</v>
      </c>
      <c r="C66" t="s">
        <v>217</v>
      </c>
      <c r="D66" t="s">
        <v>656</v>
      </c>
      <c r="E66" t="s">
        <v>657</v>
      </c>
      <c r="F66" t="s">
        <v>658</v>
      </c>
      <c r="G66" t="s">
        <v>659</v>
      </c>
      <c r="H66" s="2" t="s">
        <v>660</v>
      </c>
      <c r="I66" t="s">
        <v>79</v>
      </c>
      <c r="J66" t="s">
        <v>9</v>
      </c>
      <c r="K66" t="s">
        <v>391</v>
      </c>
      <c r="L66" t="s">
        <v>661</v>
      </c>
      <c r="M66" t="s">
        <v>662</v>
      </c>
      <c r="N66" t="s">
        <v>663</v>
      </c>
      <c r="O66" s="3">
        <f>HYPERLINK(".\.\export_data\inspection_reports\80495_greenwich", ".\export_data\inspection_reports\80495_greenwich")</f>
        <v>0</v>
      </c>
      <c r="P66" t="s">
        <v>79</v>
      </c>
      <c r="Q66" t="s">
        <v>8</v>
      </c>
      <c r="R66" t="s">
        <v>79</v>
      </c>
      <c r="S66" t="s">
        <v>79</v>
      </c>
      <c r="T66" t="s">
        <v>395</v>
      </c>
    </row>
    <row r="67" spans="1:20">
      <c r="A67" t="s">
        <v>664</v>
      </c>
      <c r="B67" t="s">
        <v>665</v>
      </c>
      <c r="C67" t="s">
        <v>217</v>
      </c>
      <c r="D67" t="s">
        <v>666</v>
      </c>
      <c r="E67" t="s">
        <v>667</v>
      </c>
      <c r="F67" t="s">
        <v>668</v>
      </c>
      <c r="G67" t="s">
        <v>669</v>
      </c>
      <c r="H67" s="2" t="s">
        <v>670</v>
      </c>
      <c r="I67" t="s">
        <v>8</v>
      </c>
      <c r="J67" t="s">
        <v>48</v>
      </c>
      <c r="K67" t="s">
        <v>75</v>
      </c>
      <c r="L67" t="s">
        <v>257</v>
      </c>
      <c r="M67" t="s">
        <v>671</v>
      </c>
      <c r="N67" t="s">
        <v>672</v>
      </c>
      <c r="O67" s="3">
        <f>HYPERLINK(".\.\export_data\inspection_reports\80496_hackney", ".\export_data\inspection_reports\80496_hackney")</f>
        <v>0</v>
      </c>
      <c r="P67" t="s">
        <v>8</v>
      </c>
      <c r="Q67" t="s">
        <v>8</v>
      </c>
      <c r="R67" t="s">
        <v>8</v>
      </c>
      <c r="S67" t="s">
        <v>14</v>
      </c>
      <c r="T67" t="s">
        <v>53</v>
      </c>
    </row>
    <row r="68" spans="1:20">
      <c r="A68" t="s">
        <v>673</v>
      </c>
      <c r="B68" t="s">
        <v>674</v>
      </c>
      <c r="C68" t="s">
        <v>217</v>
      </c>
      <c r="D68" t="s">
        <v>675</v>
      </c>
      <c r="E68" t="s">
        <v>676</v>
      </c>
      <c r="F68" t="s">
        <v>677</v>
      </c>
      <c r="G68" t="s">
        <v>678</v>
      </c>
      <c r="H68" s="2" t="s">
        <v>679</v>
      </c>
      <c r="I68" t="s">
        <v>79</v>
      </c>
      <c r="J68" t="s">
        <v>9</v>
      </c>
      <c r="K68" t="s">
        <v>223</v>
      </c>
      <c r="L68" t="s">
        <v>680</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681</v>
      </c>
      <c r="B69" t="s">
        <v>682</v>
      </c>
      <c r="C69" t="s">
        <v>217</v>
      </c>
      <c r="D69" t="s">
        <v>683</v>
      </c>
      <c r="E69" t="s">
        <v>684</v>
      </c>
      <c r="F69" t="s">
        <v>685</v>
      </c>
      <c r="G69" t="s">
        <v>686</v>
      </c>
      <c r="H69" s="2" t="s">
        <v>687</v>
      </c>
      <c r="I69" t="s">
        <v>79</v>
      </c>
      <c r="J69" t="s">
        <v>9</v>
      </c>
      <c r="K69" t="s">
        <v>223</v>
      </c>
      <c r="L69" t="s">
        <v>212</v>
      </c>
      <c r="M69" t="s">
        <v>688</v>
      </c>
      <c r="N69" t="s">
        <v>689</v>
      </c>
      <c r="O69" s="3">
        <f>HYPERLINK(".\.\export_data\inspection_reports\80498_haringey", ".\export_data\inspection_reports\80498_haringey")</f>
        <v>0</v>
      </c>
      <c r="P69" t="s">
        <v>79</v>
      </c>
      <c r="Q69" t="s">
        <v>8</v>
      </c>
      <c r="R69" t="s">
        <v>8</v>
      </c>
      <c r="S69" t="s">
        <v>79</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392</v>
      </c>
      <c r="M71" t="s">
        <v>706</v>
      </c>
      <c r="N71" t="s">
        <v>707</v>
      </c>
      <c r="O71" s="3">
        <f>HYPERLINK(".\.\export_data\inspection_reports\80500_havering", ".\export_data\inspection_reports\80500_havering")</f>
        <v>0</v>
      </c>
      <c r="P71" t="s">
        <v>189</v>
      </c>
      <c r="Q71" t="s">
        <v>189</v>
      </c>
      <c r="R71" t="s">
        <v>189</v>
      </c>
      <c r="S71" t="s">
        <v>14</v>
      </c>
      <c r="T71" t="s">
        <v>53</v>
      </c>
    </row>
    <row r="72" spans="1:20">
      <c r="A72" t="s">
        <v>708</v>
      </c>
      <c r="B72" t="s">
        <v>709</v>
      </c>
      <c r="C72" t="s">
        <v>217</v>
      </c>
      <c r="D72" t="s">
        <v>710</v>
      </c>
      <c r="E72" t="s">
        <v>711</v>
      </c>
      <c r="F72" t="s">
        <v>712</v>
      </c>
      <c r="G72" t="s">
        <v>713</v>
      </c>
      <c r="H72" s="2" t="s">
        <v>714</v>
      </c>
      <c r="I72" t="s">
        <v>79</v>
      </c>
      <c r="J72" t="s">
        <v>9</v>
      </c>
      <c r="K72" t="s">
        <v>223</v>
      </c>
      <c r="L72" t="s">
        <v>715</v>
      </c>
      <c r="M72" t="s">
        <v>716</v>
      </c>
      <c r="N72" t="s">
        <v>717</v>
      </c>
      <c r="O72" s="3">
        <f>HYPERLINK(".\.\export_data\inspection_reports\80501_hillingdon", ".\export_data\inspection_reports\80501_hillingdon")</f>
        <v>0</v>
      </c>
      <c r="P72" t="s">
        <v>79</v>
      </c>
      <c r="Q72" t="s">
        <v>8</v>
      </c>
      <c r="R72" t="s">
        <v>79</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79</v>
      </c>
      <c r="Q73" t="s">
        <v>8</v>
      </c>
      <c r="R73" t="s">
        <v>8</v>
      </c>
      <c r="S73" t="s">
        <v>8</v>
      </c>
      <c r="T73" t="s">
        <v>28</v>
      </c>
    </row>
    <row r="74" spans="1:20">
      <c r="A74" t="s">
        <v>728</v>
      </c>
      <c r="B74" t="s">
        <v>729</v>
      </c>
      <c r="C74" t="s">
        <v>217</v>
      </c>
      <c r="D74" t="s">
        <v>730</v>
      </c>
      <c r="E74" t="s">
        <v>731</v>
      </c>
      <c r="F74" t="s">
        <v>732</v>
      </c>
      <c r="G74" t="s">
        <v>733</v>
      </c>
      <c r="H74" s="2" t="s">
        <v>734</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66</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79</v>
      </c>
      <c r="T75" t="s">
        <v>66</v>
      </c>
    </row>
    <row r="76" spans="1:20">
      <c r="A76" t="s">
        <v>744</v>
      </c>
      <c r="B76" t="s">
        <v>745</v>
      </c>
      <c r="C76" t="s">
        <v>217</v>
      </c>
      <c r="D76" t="s">
        <v>746</v>
      </c>
      <c r="E76" t="s">
        <v>747</v>
      </c>
      <c r="F76" t="s">
        <v>748</v>
      </c>
      <c r="G76" t="s">
        <v>749</v>
      </c>
      <c r="H76" s="2" t="s">
        <v>750</v>
      </c>
      <c r="I76" t="s">
        <v>8</v>
      </c>
      <c r="J76" t="s">
        <v>48</v>
      </c>
      <c r="K76" t="s">
        <v>751</v>
      </c>
      <c r="L76" t="s">
        <v>752</v>
      </c>
      <c r="M76" t="s">
        <v>393</v>
      </c>
      <c r="N76" t="s">
        <v>753</v>
      </c>
      <c r="O76" s="3">
        <f>HYPERLINK(".\.\export_data\inspection_reports\80508_lewisham", ".\export_data\inspection_reports\80508_lewisham")</f>
        <v>0</v>
      </c>
      <c r="P76" t="s">
        <v>8</v>
      </c>
      <c r="Q76" t="s">
        <v>8</v>
      </c>
      <c r="R76" t="s">
        <v>8</v>
      </c>
      <c r="S76" t="s">
        <v>8</v>
      </c>
      <c r="T76" t="s">
        <v>66</v>
      </c>
    </row>
    <row r="77" spans="1:20">
      <c r="A77" t="s">
        <v>754</v>
      </c>
      <c r="B77" t="s">
        <v>755</v>
      </c>
      <c r="C77" t="s">
        <v>217</v>
      </c>
      <c r="D77" t="s">
        <v>756</v>
      </c>
      <c r="E77" t="s">
        <v>757</v>
      </c>
      <c r="F77" t="s">
        <v>758</v>
      </c>
      <c r="G77" t="s">
        <v>759</v>
      </c>
      <c r="H77" s="2" t="s">
        <v>760</v>
      </c>
      <c r="I77" t="s">
        <v>79</v>
      </c>
      <c r="J77" t="s">
        <v>9</v>
      </c>
      <c r="K77" t="s">
        <v>617</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761</v>
      </c>
      <c r="B78" t="s">
        <v>762</v>
      </c>
      <c r="C78" t="s">
        <v>217</v>
      </c>
      <c r="D78" t="s">
        <v>763</v>
      </c>
      <c r="E78" t="s">
        <v>764</v>
      </c>
      <c r="F78" t="s">
        <v>765</v>
      </c>
      <c r="G78" t="s">
        <v>766</v>
      </c>
      <c r="H78" s="2" t="s">
        <v>767</v>
      </c>
      <c r="I78" t="s">
        <v>79</v>
      </c>
      <c r="J78" t="s">
        <v>9</v>
      </c>
      <c r="K78" t="s">
        <v>372</v>
      </c>
      <c r="L78" t="s">
        <v>461</v>
      </c>
      <c r="M78" t="s">
        <v>768</v>
      </c>
      <c r="N78" t="s">
        <v>463</v>
      </c>
      <c r="O78" s="3">
        <f>HYPERLINK(".\.\export_data\inspection_reports\80511_newham", ".\export_data\inspection_reports\80511_newham")</f>
        <v>0</v>
      </c>
      <c r="P78" t="s">
        <v>79</v>
      </c>
      <c r="Q78" t="s">
        <v>79</v>
      </c>
      <c r="R78" t="s">
        <v>79</v>
      </c>
      <c r="S78" t="s">
        <v>79</v>
      </c>
      <c r="T78" t="s">
        <v>53</v>
      </c>
    </row>
    <row r="79" spans="1:20">
      <c r="A79" t="s">
        <v>769</v>
      </c>
      <c r="B79" t="s">
        <v>770</v>
      </c>
      <c r="C79" t="s">
        <v>217</v>
      </c>
      <c r="D79" t="s">
        <v>771</v>
      </c>
      <c r="E79" t="s">
        <v>772</v>
      </c>
      <c r="F79" t="s">
        <v>773</v>
      </c>
      <c r="G79" t="s">
        <v>774</v>
      </c>
      <c r="H79" s="2" t="s">
        <v>775</v>
      </c>
      <c r="I79" t="s">
        <v>79</v>
      </c>
      <c r="J79" t="s">
        <v>9</v>
      </c>
      <c r="K79" t="s">
        <v>776</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777</v>
      </c>
      <c r="B80" t="s">
        <v>778</v>
      </c>
      <c r="C80" t="s">
        <v>217</v>
      </c>
      <c r="D80" t="s">
        <v>779</v>
      </c>
      <c r="E80" t="s">
        <v>780</v>
      </c>
      <c r="F80" t="s">
        <v>781</v>
      </c>
      <c r="G80" t="s">
        <v>782</v>
      </c>
      <c r="H80" s="2" t="s">
        <v>783</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66</v>
      </c>
    </row>
    <row r="83" spans="1:20">
      <c r="A83" t="s">
        <v>799</v>
      </c>
      <c r="B83" t="s">
        <v>800</v>
      </c>
      <c r="C83" t="s">
        <v>217</v>
      </c>
      <c r="D83" t="s">
        <v>801</v>
      </c>
      <c r="E83" t="s">
        <v>802</v>
      </c>
      <c r="F83" t="s">
        <v>803</v>
      </c>
      <c r="G83" t="s">
        <v>804</v>
      </c>
      <c r="H83" s="2" t="s">
        <v>805</v>
      </c>
      <c r="I83" t="s">
        <v>79</v>
      </c>
      <c r="J83" t="s">
        <v>9</v>
      </c>
      <c r="K83" t="s">
        <v>24</v>
      </c>
      <c r="L83" t="s">
        <v>806</v>
      </c>
      <c r="M83" t="s">
        <v>807</v>
      </c>
      <c r="N83" t="s">
        <v>808</v>
      </c>
      <c r="O83" s="3">
        <f>HYPERLINK(".\.\export_data\inspection_reports\80516_tower hamlets", ".\export_data\inspection_reports\80516_tower hamlets")</f>
        <v>0</v>
      </c>
      <c r="P83" t="s">
        <v>79</v>
      </c>
      <c r="Q83" t="s">
        <v>8</v>
      </c>
      <c r="R83" t="s">
        <v>8</v>
      </c>
      <c r="S83" t="s">
        <v>79</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79</v>
      </c>
      <c r="S84" t="s">
        <v>8</v>
      </c>
      <c r="T84" t="s">
        <v>120</v>
      </c>
    </row>
    <row r="85" spans="1:20">
      <c r="A85" t="s">
        <v>817</v>
      </c>
      <c r="B85" t="s">
        <v>818</v>
      </c>
      <c r="C85" t="s">
        <v>217</v>
      </c>
      <c r="D85" t="s">
        <v>819</v>
      </c>
      <c r="E85" t="s">
        <v>820</v>
      </c>
      <c r="F85" t="s">
        <v>821</v>
      </c>
      <c r="G85" t="s">
        <v>822</v>
      </c>
      <c r="H85" s="2" t="s">
        <v>823</v>
      </c>
      <c r="I85" t="s">
        <v>79</v>
      </c>
      <c r="J85" t="s">
        <v>9</v>
      </c>
      <c r="K85" t="s">
        <v>606</v>
      </c>
      <c r="L85" t="s">
        <v>499</v>
      </c>
      <c r="M85" t="s">
        <v>824</v>
      </c>
      <c r="N85" t="s">
        <v>280</v>
      </c>
      <c r="O85" s="3">
        <f>HYPERLINK(".\.\export_data\inspection_reports\80518_wandsworth", ".\export_data\inspection_reports\80518_wandsworth")</f>
        <v>0</v>
      </c>
      <c r="P85" t="s">
        <v>79</v>
      </c>
      <c r="Q85" t="s">
        <v>79</v>
      </c>
      <c r="R85" t="s">
        <v>79</v>
      </c>
      <c r="S85" t="s">
        <v>79</v>
      </c>
      <c r="T85" t="s">
        <v>15</v>
      </c>
    </row>
    <row r="86" spans="1:20">
      <c r="A86" t="s">
        <v>825</v>
      </c>
      <c r="B86" t="s">
        <v>826</v>
      </c>
      <c r="C86" t="s">
        <v>217</v>
      </c>
      <c r="D86" t="s">
        <v>827</v>
      </c>
      <c r="E86" t="s">
        <v>828</v>
      </c>
      <c r="F86" t="s">
        <v>829</v>
      </c>
      <c r="G86" t="s">
        <v>830</v>
      </c>
      <c r="H86" s="2" t="s">
        <v>831</v>
      </c>
      <c r="I86" t="s">
        <v>79</v>
      </c>
      <c r="J86" t="s">
        <v>9</v>
      </c>
      <c r="K86" t="s">
        <v>106</v>
      </c>
      <c r="L86" t="s">
        <v>806</v>
      </c>
      <c r="M86" t="s">
        <v>807</v>
      </c>
      <c r="N86" t="s">
        <v>808</v>
      </c>
      <c r="O86" s="3">
        <f>HYPERLINK(".\.\export_data\inspection_reports\80519_westminster", ".\export_data\inspection_reports\80519_westminster")</f>
        <v>0</v>
      </c>
      <c r="P86" t="s">
        <v>79</v>
      </c>
      <c r="Q86" t="s">
        <v>79</v>
      </c>
      <c r="R86" t="s">
        <v>79</v>
      </c>
      <c r="S86" t="s">
        <v>79</v>
      </c>
      <c r="T86" t="s">
        <v>53</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66</v>
      </c>
    </row>
    <row r="88" spans="1:20">
      <c r="A88" t="s">
        <v>841</v>
      </c>
      <c r="B88" t="s">
        <v>842</v>
      </c>
      <c r="C88" t="s">
        <v>56</v>
      </c>
      <c r="D88" t="s">
        <v>843</v>
      </c>
      <c r="E88" t="s">
        <v>844</v>
      </c>
      <c r="F88" t="s">
        <v>845</v>
      </c>
      <c r="G88" t="s">
        <v>846</v>
      </c>
      <c r="H88" s="2" t="s">
        <v>847</v>
      </c>
      <c r="I88" t="s">
        <v>79</v>
      </c>
      <c r="J88" t="s">
        <v>48</v>
      </c>
      <c r="K88" t="s">
        <v>277</v>
      </c>
      <c r="L88" t="s">
        <v>848</v>
      </c>
      <c r="M88" t="s">
        <v>849</v>
      </c>
      <c r="N88" t="s">
        <v>850</v>
      </c>
      <c r="O88" s="3">
        <f>HYPERLINK(".\.\export_data\inspection_reports\80521_manchester", ".\export_data\inspection_reports\80521_manchester")</f>
        <v>0</v>
      </c>
      <c r="P88" t="s">
        <v>79</v>
      </c>
      <c r="Q88" t="s">
        <v>8</v>
      </c>
      <c r="R88" t="s">
        <v>79</v>
      </c>
      <c r="S88" t="s">
        <v>79</v>
      </c>
      <c r="T88" t="s">
        <v>15</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74</v>
      </c>
      <c r="J90" t="s">
        <v>48</v>
      </c>
      <c r="K90" t="s">
        <v>869</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79</v>
      </c>
      <c r="T91" t="s">
        <v>434</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79</v>
      </c>
      <c r="R92" t="s">
        <v>8</v>
      </c>
      <c r="S92" t="s">
        <v>14</v>
      </c>
      <c r="T92" t="s">
        <v>28</v>
      </c>
    </row>
    <row r="93" spans="1:20">
      <c r="A93" t="s">
        <v>890</v>
      </c>
      <c r="B93" t="s">
        <v>891</v>
      </c>
      <c r="C93" t="s">
        <v>31</v>
      </c>
      <c r="D93" t="s">
        <v>892</v>
      </c>
      <c r="E93" t="s">
        <v>893</v>
      </c>
      <c r="F93" t="s">
        <v>894</v>
      </c>
      <c r="G93" t="s">
        <v>895</v>
      </c>
      <c r="H93" s="2" t="s">
        <v>896</v>
      </c>
      <c r="I93" t="s">
        <v>79</v>
      </c>
      <c r="J93" t="s">
        <v>9</v>
      </c>
      <c r="K93" t="s">
        <v>897</v>
      </c>
      <c r="L93" t="s">
        <v>898</v>
      </c>
      <c r="M93" t="s">
        <v>899</v>
      </c>
      <c r="N93" t="s">
        <v>280</v>
      </c>
      <c r="O93" s="3">
        <f>HYPERLINK(".\.\export_data\inspection_reports\80418_norfolk", ".\export_data\inspection_reports\80418_norfolk")</f>
        <v>0</v>
      </c>
      <c r="P93" t="s">
        <v>79</v>
      </c>
      <c r="Q93" t="s">
        <v>79</v>
      </c>
      <c r="R93" t="s">
        <v>79</v>
      </c>
      <c r="S93" t="s">
        <v>79</v>
      </c>
      <c r="T93" t="s">
        <v>434</v>
      </c>
    </row>
    <row r="94" spans="1:20">
      <c r="A94" t="s">
        <v>900</v>
      </c>
      <c r="B94" t="s">
        <v>901</v>
      </c>
      <c r="C94" t="s">
        <v>2</v>
      </c>
      <c r="D94" t="s">
        <v>902</v>
      </c>
      <c r="E94" t="s">
        <v>903</v>
      </c>
      <c r="F94" t="s">
        <v>904</v>
      </c>
      <c r="G94" t="s">
        <v>905</v>
      </c>
      <c r="H94" s="2" t="s">
        <v>906</v>
      </c>
      <c r="I94" t="s">
        <v>8</v>
      </c>
      <c r="J94" t="s">
        <v>48</v>
      </c>
      <c r="K94" t="s">
        <v>372</v>
      </c>
      <c r="L94" t="s">
        <v>37</v>
      </c>
      <c r="M94" t="s">
        <v>907</v>
      </c>
      <c r="N94" t="s">
        <v>908</v>
      </c>
      <c r="O94" s="3">
        <f>HYPERLINK(".\.\export_data\inspection_reports\80526_north east lincolnshire", ".\export_data\inspection_reports\80526_north east lincolnshire")</f>
        <v>0</v>
      </c>
      <c r="P94" t="s">
        <v>79</v>
      </c>
      <c r="Q94" t="s">
        <v>8</v>
      </c>
      <c r="R94" t="s">
        <v>8</v>
      </c>
      <c r="S94" t="s">
        <v>8</v>
      </c>
      <c r="T94" t="s">
        <v>53</v>
      </c>
    </row>
    <row r="95" spans="1:20">
      <c r="A95" t="s">
        <v>909</v>
      </c>
      <c r="B95" t="s">
        <v>910</v>
      </c>
      <c r="C95" t="s">
        <v>2</v>
      </c>
      <c r="D95" t="s">
        <v>911</v>
      </c>
      <c r="E95" t="s">
        <v>912</v>
      </c>
      <c r="F95" t="s">
        <v>913</v>
      </c>
      <c r="G95" t="s">
        <v>914</v>
      </c>
      <c r="H95" s="2" t="s">
        <v>915</v>
      </c>
      <c r="I95" t="s">
        <v>79</v>
      </c>
      <c r="J95" t="s">
        <v>9</v>
      </c>
      <c r="K95" t="s">
        <v>507</v>
      </c>
      <c r="L95" t="s">
        <v>916</v>
      </c>
      <c r="M95" t="s">
        <v>917</v>
      </c>
      <c r="N95" t="s">
        <v>918</v>
      </c>
      <c r="O95" s="3">
        <f>HYPERLINK(".\.\export_data\inspection_reports\80527_north lincolnshire", ".\export_data\inspection_reports\80527_north lincolnshire")</f>
        <v>0</v>
      </c>
      <c r="P95" t="s">
        <v>79</v>
      </c>
      <c r="Q95" t="s">
        <v>79</v>
      </c>
      <c r="R95" t="s">
        <v>79</v>
      </c>
      <c r="S95" t="s">
        <v>8</v>
      </c>
      <c r="T95" t="s">
        <v>28</v>
      </c>
    </row>
    <row r="96" spans="1:20">
      <c r="A96" t="s">
        <v>919</v>
      </c>
      <c r="B96" t="s">
        <v>920</v>
      </c>
      <c r="C96" t="s">
        <v>304</v>
      </c>
      <c r="D96" t="s">
        <v>921</v>
      </c>
      <c r="E96" t="s">
        <v>922</v>
      </c>
      <c r="F96" t="s">
        <v>923</v>
      </c>
      <c r="G96" t="s">
        <v>924</v>
      </c>
      <c r="H96" s="2" t="s">
        <v>925</v>
      </c>
      <c r="I96" t="s">
        <v>74</v>
      </c>
      <c r="J96" t="s">
        <v>48</v>
      </c>
      <c r="K96" t="s">
        <v>926</v>
      </c>
      <c r="L96" t="s">
        <v>527</v>
      </c>
      <c r="M96" t="s">
        <v>528</v>
      </c>
      <c r="N96" t="s">
        <v>573</v>
      </c>
      <c r="O96" s="3">
        <f>HYPERLINK(".\.\export_data\inspection_reports\2637539_north northamptonshire", ".\export_data\inspection_reports\2637539_north northamptonshire")</f>
        <v>0</v>
      </c>
      <c r="P96" t="s">
        <v>79</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79</v>
      </c>
      <c r="J98" t="s">
        <v>9</v>
      </c>
      <c r="K98" t="s">
        <v>372</v>
      </c>
      <c r="L98" t="s">
        <v>806</v>
      </c>
      <c r="M98" t="s">
        <v>807</v>
      </c>
      <c r="N98" t="s">
        <v>808</v>
      </c>
      <c r="O98" s="3">
        <f>HYPERLINK(".\.\export_data\inspection_reports\80529_north tyneside", ".\export_data\inspection_reports\80529_north tyneside")</f>
        <v>0</v>
      </c>
      <c r="P98" t="s">
        <v>79</v>
      </c>
      <c r="Q98" t="s">
        <v>79</v>
      </c>
      <c r="R98" t="s">
        <v>79</v>
      </c>
      <c r="S98" t="s">
        <v>79</v>
      </c>
      <c r="T98" t="s">
        <v>53</v>
      </c>
    </row>
    <row r="99" spans="1:20">
      <c r="A99" t="s">
        <v>944</v>
      </c>
      <c r="B99" t="s">
        <v>945</v>
      </c>
      <c r="C99" t="s">
        <v>2</v>
      </c>
      <c r="D99" t="s">
        <v>946</v>
      </c>
      <c r="E99" t="s">
        <v>947</v>
      </c>
      <c r="F99" t="s">
        <v>948</v>
      </c>
      <c r="G99" t="s">
        <v>949</v>
      </c>
      <c r="H99" s="2" t="s">
        <v>950</v>
      </c>
      <c r="I99" t="s">
        <v>79</v>
      </c>
      <c r="J99" t="s">
        <v>9</v>
      </c>
      <c r="K99" t="s">
        <v>951</v>
      </c>
      <c r="L99" t="s">
        <v>952</v>
      </c>
      <c r="M99" t="s">
        <v>953</v>
      </c>
      <c r="N99" t="s">
        <v>954</v>
      </c>
      <c r="O99" s="3">
        <f>HYPERLINK(".\.\export_data\inspection_reports\80530_north yorkshire", ".\export_data\inspection_reports\80530_north yorkshire")</f>
        <v>0</v>
      </c>
      <c r="P99" t="s">
        <v>79</v>
      </c>
      <c r="Q99" t="s">
        <v>79</v>
      </c>
      <c r="R99" t="s">
        <v>79</v>
      </c>
      <c r="S99" t="s">
        <v>79</v>
      </c>
      <c r="T99" t="s">
        <v>120</v>
      </c>
    </row>
    <row r="100" spans="1:20">
      <c r="A100" t="s">
        <v>955</v>
      </c>
      <c r="B100" t="s">
        <v>956</v>
      </c>
      <c r="C100" t="s">
        <v>293</v>
      </c>
      <c r="D100" t="s">
        <v>957</v>
      </c>
      <c r="E100" t="s">
        <v>958</v>
      </c>
      <c r="F100" t="s">
        <v>959</v>
      </c>
      <c r="G100" t="s">
        <v>960</v>
      </c>
      <c r="H100" s="2" t="s">
        <v>961</v>
      </c>
      <c r="I100" t="s">
        <v>79</v>
      </c>
      <c r="J100" t="s">
        <v>9</v>
      </c>
      <c r="K100" t="s">
        <v>962</v>
      </c>
      <c r="L100" t="s">
        <v>963</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434</v>
      </c>
    </row>
    <row r="102" spans="1:20">
      <c r="A102" t="s">
        <v>972</v>
      </c>
      <c r="B102" t="s">
        <v>973</v>
      </c>
      <c r="C102" t="s">
        <v>304</v>
      </c>
      <c r="D102" t="s">
        <v>974</v>
      </c>
      <c r="E102" t="s">
        <v>975</v>
      </c>
      <c r="F102" t="s">
        <v>976</v>
      </c>
      <c r="G102" t="s">
        <v>977</v>
      </c>
      <c r="H102" s="2" t="s">
        <v>978</v>
      </c>
      <c r="I102" t="s">
        <v>8</v>
      </c>
      <c r="J102" t="s">
        <v>9</v>
      </c>
      <c r="K102" t="s">
        <v>751</v>
      </c>
      <c r="L102" t="s">
        <v>963</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979</v>
      </c>
      <c r="B103" t="s">
        <v>980</v>
      </c>
      <c r="C103" t="s">
        <v>56</v>
      </c>
      <c r="D103" t="s">
        <v>981</v>
      </c>
      <c r="E103" t="s">
        <v>982</v>
      </c>
      <c r="F103" t="s">
        <v>983</v>
      </c>
      <c r="G103" t="s">
        <v>984</v>
      </c>
      <c r="H103" s="2" t="s">
        <v>985</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66</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434</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74</v>
      </c>
      <c r="J107" t="s">
        <v>9</v>
      </c>
      <c r="K107" t="s">
        <v>1023</v>
      </c>
      <c r="L107" t="s">
        <v>1024</v>
      </c>
      <c r="M107" t="s">
        <v>1025</v>
      </c>
      <c r="N107" t="s">
        <v>1026</v>
      </c>
      <c r="O107" s="3">
        <f>HYPERLINK(".\.\export_data\inspection_reports\80539_portsmouth", ".\export_data\inspection_reports\80539_portsmouth")</f>
        <v>0</v>
      </c>
      <c r="P107" t="s">
        <v>79</v>
      </c>
      <c r="Q107" t="s">
        <v>79</v>
      </c>
      <c r="R107" t="s">
        <v>79</v>
      </c>
      <c r="S107" t="s">
        <v>79</v>
      </c>
      <c r="T107" t="s">
        <v>434</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28</v>
      </c>
    </row>
    <row r="110" spans="1:20">
      <c r="A110" t="s">
        <v>1042</v>
      </c>
      <c r="B110" t="s">
        <v>1043</v>
      </c>
      <c r="C110" t="s">
        <v>56</v>
      </c>
      <c r="D110" t="s">
        <v>1044</v>
      </c>
      <c r="E110" t="s">
        <v>1045</v>
      </c>
      <c r="F110" t="s">
        <v>1046</v>
      </c>
      <c r="G110" t="s">
        <v>1047</v>
      </c>
      <c r="H110" s="2" t="s">
        <v>1048</v>
      </c>
      <c r="I110" t="s">
        <v>14</v>
      </c>
      <c r="J110" t="s">
        <v>48</v>
      </c>
      <c r="K110" t="s">
        <v>87</v>
      </c>
      <c r="L110" t="s">
        <v>471</v>
      </c>
      <c r="M110" t="s">
        <v>1049</v>
      </c>
      <c r="N110" t="s">
        <v>1050</v>
      </c>
      <c r="O110" s="3">
        <f>HYPERLINK(".\.\export_data\inspection_reports\80542_rochdale", ".\export_data\inspection_reports\80542_rochdale")</f>
        <v>0</v>
      </c>
      <c r="P110" t="s">
        <v>14</v>
      </c>
      <c r="Q110" t="s">
        <v>14</v>
      </c>
      <c r="R110" t="s">
        <v>14</v>
      </c>
      <c r="S110" t="s">
        <v>14</v>
      </c>
      <c r="T110" t="s">
        <v>28</v>
      </c>
    </row>
    <row r="111" spans="1:20">
      <c r="A111" t="s">
        <v>1051</v>
      </c>
      <c r="B111" t="s">
        <v>1052</v>
      </c>
      <c r="C111" t="s">
        <v>2</v>
      </c>
      <c r="D111" t="s">
        <v>1053</v>
      </c>
      <c r="E111" t="s">
        <v>1054</v>
      </c>
      <c r="F111" t="s">
        <v>1055</v>
      </c>
      <c r="G111" t="s">
        <v>1056</v>
      </c>
      <c r="H111" s="2" t="s">
        <v>1057</v>
      </c>
      <c r="I111" t="s">
        <v>79</v>
      </c>
      <c r="J111" t="s">
        <v>9</v>
      </c>
      <c r="K111" t="s">
        <v>211</v>
      </c>
      <c r="L111" t="s">
        <v>489</v>
      </c>
      <c r="M111" t="s">
        <v>490</v>
      </c>
      <c r="N111" t="s">
        <v>1058</v>
      </c>
      <c r="O111" s="3">
        <f>HYPERLINK(".\.\export_data\inspection_reports\80543_rotherham", ".\export_data\inspection_reports\80543_rotherham")</f>
        <v>0</v>
      </c>
      <c r="P111" t="s">
        <v>79</v>
      </c>
      <c r="Q111" t="s">
        <v>79</v>
      </c>
      <c r="R111" t="s">
        <v>79</v>
      </c>
      <c r="S111" t="s">
        <v>8</v>
      </c>
      <c r="T111" t="s">
        <v>66</v>
      </c>
    </row>
    <row r="112" spans="1:20">
      <c r="A112" t="s">
        <v>1059</v>
      </c>
      <c r="B112" t="s">
        <v>1060</v>
      </c>
      <c r="C112" t="s">
        <v>217</v>
      </c>
      <c r="D112" t="s">
        <v>1061</v>
      </c>
      <c r="E112" t="s">
        <v>1062</v>
      </c>
      <c r="F112" t="s">
        <v>1063</v>
      </c>
      <c r="G112" t="s">
        <v>1064</v>
      </c>
      <c r="H112" s="2" t="s">
        <v>1065</v>
      </c>
      <c r="I112" t="s">
        <v>79</v>
      </c>
      <c r="J112" t="s">
        <v>9</v>
      </c>
      <c r="K112" t="s">
        <v>139</v>
      </c>
      <c r="L112" t="s">
        <v>806</v>
      </c>
      <c r="M112" t="s">
        <v>807</v>
      </c>
      <c r="N112" t="s">
        <v>808</v>
      </c>
      <c r="O112" s="3">
        <f>HYPERLINK(".\.\export_data\inspection_reports\80544_kensington and chelsea", ".\export_data\inspection_reports\80544_kensington and chelsea")</f>
        <v>0</v>
      </c>
      <c r="P112" t="s">
        <v>79</v>
      </c>
      <c r="Q112" t="s">
        <v>79</v>
      </c>
      <c r="R112" t="s">
        <v>8</v>
      </c>
      <c r="S112" t="s">
        <v>79</v>
      </c>
      <c r="T112" t="s">
        <v>28</v>
      </c>
    </row>
    <row r="113" spans="1:20">
      <c r="A113" t="s">
        <v>1066</v>
      </c>
      <c r="B113" t="s">
        <v>1067</v>
      </c>
      <c r="C113" t="s">
        <v>217</v>
      </c>
      <c r="D113" t="s">
        <v>1068</v>
      </c>
      <c r="E113" t="s">
        <v>1069</v>
      </c>
      <c r="F113" t="s">
        <v>1070</v>
      </c>
      <c r="G113" t="s">
        <v>1071</v>
      </c>
      <c r="H113" s="2" t="s">
        <v>1072</v>
      </c>
      <c r="I113" t="s">
        <v>79</v>
      </c>
      <c r="J113" t="s">
        <v>9</v>
      </c>
      <c r="K113" t="s">
        <v>751</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79</v>
      </c>
      <c r="T114" t="s">
        <v>53</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433</v>
      </c>
      <c r="O115" s="3">
        <f>HYPERLINK(".\.\export_data\inspection_reports\80547_rutland", ".\export_data\inspection_reports\80547_rutland")</f>
        <v>0</v>
      </c>
      <c r="P115" t="s">
        <v>8</v>
      </c>
      <c r="Q115" t="s">
        <v>8</v>
      </c>
      <c r="R115" t="s">
        <v>8</v>
      </c>
      <c r="S115" t="s">
        <v>8</v>
      </c>
      <c r="T115" t="s">
        <v>28</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87</v>
      </c>
      <c r="L118" t="s">
        <v>1116</v>
      </c>
      <c r="M118" t="s">
        <v>538</v>
      </c>
      <c r="N118" t="s">
        <v>539</v>
      </c>
      <c r="O118" s="3">
        <f>HYPERLINK(".\.\export_data\inspection_reports\80550_sefton", ".\export_data\inspection_reports\80550_sefton")</f>
        <v>0</v>
      </c>
      <c r="P118" t="s">
        <v>8</v>
      </c>
      <c r="Q118" t="s">
        <v>14</v>
      </c>
      <c r="R118" t="s">
        <v>8</v>
      </c>
      <c r="S118" t="s">
        <v>8</v>
      </c>
      <c r="T118" t="s">
        <v>28</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79</v>
      </c>
      <c r="S119" t="s">
        <v>8</v>
      </c>
      <c r="T119" t="s">
        <v>28</v>
      </c>
    </row>
    <row r="120" spans="1:20">
      <c r="A120" t="s">
        <v>1126</v>
      </c>
      <c r="B120" t="s">
        <v>1127</v>
      </c>
      <c r="C120" t="s">
        <v>42</v>
      </c>
      <c r="D120" t="s">
        <v>1128</v>
      </c>
      <c r="E120" t="s">
        <v>1129</v>
      </c>
      <c r="F120" t="s">
        <v>1130</v>
      </c>
      <c r="G120" t="s">
        <v>1131</v>
      </c>
      <c r="H120" s="2" t="s">
        <v>1132</v>
      </c>
      <c r="I120" t="s">
        <v>79</v>
      </c>
      <c r="J120" t="s">
        <v>48</v>
      </c>
      <c r="K120" t="s">
        <v>742</v>
      </c>
      <c r="L120" t="s">
        <v>1116</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1133</v>
      </c>
      <c r="B121" t="s">
        <v>1134</v>
      </c>
      <c r="C121" t="s">
        <v>100</v>
      </c>
      <c r="D121" t="s">
        <v>1135</v>
      </c>
      <c r="E121" t="s">
        <v>1136</v>
      </c>
      <c r="F121" t="s">
        <v>1137</v>
      </c>
      <c r="G121" t="s">
        <v>1138</v>
      </c>
      <c r="H121" s="2" t="s">
        <v>1139</v>
      </c>
      <c r="I121" t="s">
        <v>14</v>
      </c>
      <c r="J121" t="s">
        <v>48</v>
      </c>
      <c r="K121" t="s">
        <v>24</v>
      </c>
      <c r="L121" t="s">
        <v>471</v>
      </c>
      <c r="M121" t="s">
        <v>1049</v>
      </c>
      <c r="N121" t="s">
        <v>1050</v>
      </c>
      <c r="O121" s="3">
        <f>HYPERLINK(".\.\export_data\inspection_reports\80553_slough", ".\export_data\inspection_reports\80553_slough")</f>
        <v>0</v>
      </c>
      <c r="P121" t="s">
        <v>189</v>
      </c>
      <c r="Q121" t="s">
        <v>14</v>
      </c>
      <c r="R121" t="s">
        <v>14</v>
      </c>
      <c r="S121" t="s">
        <v>14</v>
      </c>
      <c r="T121" t="s">
        <v>28</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463</v>
      </c>
      <c r="O122" s="3">
        <f>HYPERLINK(".\.\export_data\inspection_reports\80554_solihull", ".\export_data\inspection_reports\80554_solihull")</f>
        <v>0</v>
      </c>
      <c r="P122" t="s">
        <v>8</v>
      </c>
      <c r="Q122" t="s">
        <v>8</v>
      </c>
      <c r="R122" t="s">
        <v>14</v>
      </c>
      <c r="S122" t="s">
        <v>8</v>
      </c>
      <c r="T122" t="s">
        <v>434</v>
      </c>
    </row>
    <row r="123" spans="1:20">
      <c r="A123" t="s">
        <v>1147</v>
      </c>
      <c r="B123" t="s">
        <v>1148</v>
      </c>
      <c r="C123" t="s">
        <v>18</v>
      </c>
      <c r="D123" t="s">
        <v>1149</v>
      </c>
      <c r="E123" t="s">
        <v>1150</v>
      </c>
      <c r="F123" t="s">
        <v>1151</v>
      </c>
      <c r="G123" t="s">
        <v>1152</v>
      </c>
      <c r="H123" s="2" t="s">
        <v>1153</v>
      </c>
      <c r="I123" t="s">
        <v>74</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66</v>
      </c>
    </row>
    <row r="124" spans="1:20">
      <c r="A124" t="s">
        <v>1154</v>
      </c>
      <c r="B124" t="s">
        <v>1155</v>
      </c>
      <c r="C124" t="s">
        <v>18</v>
      </c>
      <c r="D124" t="s">
        <v>1156</v>
      </c>
      <c r="E124" t="s">
        <v>1157</v>
      </c>
      <c r="F124" t="s">
        <v>1158</v>
      </c>
      <c r="G124" t="s">
        <v>1159</v>
      </c>
      <c r="H124" s="2" t="s">
        <v>1160</v>
      </c>
      <c r="I124" t="s">
        <v>8</v>
      </c>
      <c r="J124" t="s">
        <v>48</v>
      </c>
      <c r="K124" t="s">
        <v>10</v>
      </c>
      <c r="L124" t="s">
        <v>661</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74</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79</v>
      </c>
      <c r="T125" t="s">
        <v>66</v>
      </c>
    </row>
    <row r="126" spans="1:20">
      <c r="A126" t="s">
        <v>1171</v>
      </c>
      <c r="B126" t="s">
        <v>1172</v>
      </c>
      <c r="C126" t="s">
        <v>100</v>
      </c>
      <c r="D126" t="s">
        <v>1173</v>
      </c>
      <c r="E126" t="s">
        <v>1174</v>
      </c>
      <c r="F126" t="s">
        <v>1175</v>
      </c>
      <c r="G126" t="s">
        <v>1176</v>
      </c>
      <c r="H126" s="2" t="s">
        <v>1177</v>
      </c>
      <c r="I126" t="s">
        <v>8</v>
      </c>
      <c r="J126" t="s">
        <v>48</v>
      </c>
      <c r="K126" t="s">
        <v>391</v>
      </c>
      <c r="L126" t="s">
        <v>1178</v>
      </c>
      <c r="M126" t="s">
        <v>1179</v>
      </c>
      <c r="N126" t="s">
        <v>1180</v>
      </c>
      <c r="O126" s="3">
        <f>HYPERLINK(".\.\export_data\inspection_reports\80558_southampton", ".\export_data\inspection_reports\80558_southampton")</f>
        <v>0</v>
      </c>
      <c r="P126" t="s">
        <v>79</v>
      </c>
      <c r="Q126" t="s">
        <v>8</v>
      </c>
      <c r="R126" t="s">
        <v>8</v>
      </c>
      <c r="S126" t="s">
        <v>8</v>
      </c>
      <c r="T126" t="s">
        <v>395</v>
      </c>
    </row>
    <row r="127" spans="1:20">
      <c r="A127" t="s">
        <v>1181</v>
      </c>
      <c r="B127" t="s">
        <v>1182</v>
      </c>
      <c r="C127" t="s">
        <v>31</v>
      </c>
      <c r="D127" t="s">
        <v>1183</v>
      </c>
      <c r="E127" t="s">
        <v>1184</v>
      </c>
      <c r="F127" t="s">
        <v>1185</v>
      </c>
      <c r="G127" t="s">
        <v>1186</v>
      </c>
      <c r="H127" s="2" t="s">
        <v>1187</v>
      </c>
      <c r="I127" t="s">
        <v>8</v>
      </c>
      <c r="J127" t="s">
        <v>48</v>
      </c>
      <c r="K127" t="s">
        <v>75</v>
      </c>
      <c r="L127" t="s">
        <v>634</v>
      </c>
      <c r="M127" t="s">
        <v>635</v>
      </c>
      <c r="N127" t="s">
        <v>636</v>
      </c>
      <c r="O127" s="3">
        <f>HYPERLINK(".\.\export_data\inspection_reports\80559_southend-on-sea", ".\export_data\inspection_reports\80559_southend-on-sea")</f>
        <v>0</v>
      </c>
      <c r="P127" t="s">
        <v>8</v>
      </c>
      <c r="Q127" t="s">
        <v>8</v>
      </c>
      <c r="R127" t="s">
        <v>14</v>
      </c>
      <c r="S127" t="s">
        <v>8</v>
      </c>
      <c r="T127" t="s">
        <v>53</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434</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1202</v>
      </c>
      <c r="B130" t="s">
        <v>1203</v>
      </c>
      <c r="C130" t="s">
        <v>56</v>
      </c>
      <c r="D130" t="s">
        <v>1204</v>
      </c>
      <c r="E130" t="s">
        <v>1205</v>
      </c>
      <c r="F130" t="s">
        <v>1206</v>
      </c>
      <c r="G130" t="s">
        <v>1207</v>
      </c>
      <c r="H130" s="2" t="s">
        <v>1208</v>
      </c>
      <c r="I130" t="s">
        <v>14</v>
      </c>
      <c r="J130" t="s">
        <v>48</v>
      </c>
      <c r="K130" t="s">
        <v>430</v>
      </c>
      <c r="L130" t="s">
        <v>887</v>
      </c>
      <c r="M130" t="s">
        <v>311</v>
      </c>
      <c r="N130" t="s">
        <v>1209</v>
      </c>
      <c r="O130" s="3">
        <f>HYPERLINK(".\.\export_data\inspection_reports\80562_stockport", ".\export_data\inspection_reports\80562_stockport")</f>
        <v>0</v>
      </c>
      <c r="P130" t="s">
        <v>14</v>
      </c>
      <c r="Q130" t="s">
        <v>14</v>
      </c>
      <c r="R130" t="s">
        <v>14</v>
      </c>
      <c r="S130" t="s">
        <v>8</v>
      </c>
      <c r="T130" t="s">
        <v>434</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66</v>
      </c>
    </row>
    <row r="134" spans="1:20">
      <c r="A134" t="s">
        <v>1236</v>
      </c>
      <c r="B134" t="s">
        <v>1237</v>
      </c>
      <c r="C134" t="s">
        <v>293</v>
      </c>
      <c r="D134" t="s">
        <v>1238</v>
      </c>
      <c r="E134" t="s">
        <v>1239</v>
      </c>
      <c r="F134" t="s">
        <v>1240</v>
      </c>
      <c r="G134" t="s">
        <v>1241</v>
      </c>
      <c r="H134" s="2" t="s">
        <v>1242</v>
      </c>
      <c r="I134" t="s">
        <v>79</v>
      </c>
      <c r="J134" t="s">
        <v>9</v>
      </c>
      <c r="K134" t="s">
        <v>380</v>
      </c>
      <c r="L134" t="s">
        <v>140</v>
      </c>
      <c r="M134" t="s">
        <v>342</v>
      </c>
      <c r="N134" t="s">
        <v>1243</v>
      </c>
      <c r="O134" s="3">
        <f>HYPERLINK(".\.\export_data\inspection_reports\80566_sunderland", ".\export_data\inspection_reports\80566_sunderland")</f>
        <v>0</v>
      </c>
      <c r="P134" t="s">
        <v>79</v>
      </c>
      <c r="Q134" t="s">
        <v>79</v>
      </c>
      <c r="R134" t="s">
        <v>79</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28</v>
      </c>
    </row>
    <row r="137" spans="1:20">
      <c r="A137" t="s">
        <v>1258</v>
      </c>
      <c r="B137" t="s">
        <v>1259</v>
      </c>
      <c r="C137" t="s">
        <v>56</v>
      </c>
      <c r="D137" t="s">
        <v>1260</v>
      </c>
      <c r="E137" t="s">
        <v>1261</v>
      </c>
      <c r="F137" t="s">
        <v>1262</v>
      </c>
      <c r="G137" t="s">
        <v>1263</v>
      </c>
      <c r="H137" s="2" t="s">
        <v>1264</v>
      </c>
      <c r="I137" t="s">
        <v>189</v>
      </c>
      <c r="J137" t="s">
        <v>48</v>
      </c>
      <c r="K137" t="s">
        <v>117</v>
      </c>
      <c r="L137" t="s">
        <v>752</v>
      </c>
      <c r="M137" t="s">
        <v>393</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79</v>
      </c>
      <c r="J138" t="s">
        <v>9</v>
      </c>
      <c r="K138" t="s">
        <v>179</v>
      </c>
      <c r="L138" t="s">
        <v>1273</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1274</v>
      </c>
      <c r="B139" t="s">
        <v>1275</v>
      </c>
      <c r="C139" t="s">
        <v>31</v>
      </c>
      <c r="D139" t="s">
        <v>1276</v>
      </c>
      <c r="E139" t="s">
        <v>1277</v>
      </c>
      <c r="F139" t="s">
        <v>1278</v>
      </c>
      <c r="G139" t="s">
        <v>1279</v>
      </c>
      <c r="H139" s="2" t="s">
        <v>1280</v>
      </c>
      <c r="I139" t="s">
        <v>79</v>
      </c>
      <c r="J139" t="s">
        <v>9</v>
      </c>
      <c r="K139" t="s">
        <v>507</v>
      </c>
      <c r="L139" t="s">
        <v>1281</v>
      </c>
      <c r="M139" t="s">
        <v>1282</v>
      </c>
      <c r="N139" t="s">
        <v>1283</v>
      </c>
      <c r="O139" s="3">
        <f>HYPERLINK(".\.\export_data\inspection_reports\80571_thurrock", ".\export_data\inspection_reports\80571_thurrock")</f>
        <v>0</v>
      </c>
      <c r="P139" t="s">
        <v>79</v>
      </c>
      <c r="Q139" t="s">
        <v>79</v>
      </c>
      <c r="R139" t="s">
        <v>79</v>
      </c>
      <c r="S139" t="s">
        <v>79</v>
      </c>
      <c r="T139" t="s">
        <v>28</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434</v>
      </c>
    </row>
    <row r="141" spans="1:20">
      <c r="A141" t="s">
        <v>1291</v>
      </c>
      <c r="B141" t="s">
        <v>1292</v>
      </c>
      <c r="C141" t="s">
        <v>56</v>
      </c>
      <c r="D141" t="s">
        <v>1293</v>
      </c>
      <c r="E141" t="s">
        <v>1294</v>
      </c>
      <c r="F141" t="s">
        <v>1295</v>
      </c>
      <c r="G141" t="s">
        <v>1296</v>
      </c>
      <c r="H141" s="2" t="s">
        <v>1297</v>
      </c>
      <c r="I141" t="s">
        <v>74</v>
      </c>
      <c r="J141" t="s">
        <v>48</v>
      </c>
      <c r="K141" t="s">
        <v>1298</v>
      </c>
      <c r="L141" t="s">
        <v>76</v>
      </c>
      <c r="M141" t="s">
        <v>77</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79</v>
      </c>
      <c r="J142" t="s">
        <v>9</v>
      </c>
      <c r="K142" t="s">
        <v>139</v>
      </c>
      <c r="L142" t="s">
        <v>887</v>
      </c>
      <c r="M142" t="s">
        <v>888</v>
      </c>
      <c r="N142" t="s">
        <v>312</v>
      </c>
      <c r="O142" s="3">
        <f>HYPERLINK(".\.\export_data\inspection_reports\80574_walsall", ".\export_data\inspection_reports\80574_walsall")</f>
        <v>0</v>
      </c>
      <c r="P142" t="s">
        <v>79</v>
      </c>
      <c r="Q142" t="s">
        <v>8</v>
      </c>
      <c r="R142" t="s">
        <v>79</v>
      </c>
      <c r="S142" t="s">
        <v>8</v>
      </c>
      <c r="T142" t="s">
        <v>28</v>
      </c>
    </row>
    <row r="143" spans="1:20">
      <c r="A143" t="s">
        <v>1307</v>
      </c>
      <c r="B143" t="s">
        <v>1308</v>
      </c>
      <c r="C143" t="s">
        <v>56</v>
      </c>
      <c r="D143" t="s">
        <v>1309</v>
      </c>
      <c r="E143" t="s">
        <v>1310</v>
      </c>
      <c r="F143" t="s">
        <v>1311</v>
      </c>
      <c r="G143" t="s">
        <v>1312</v>
      </c>
      <c r="H143" s="2" t="s">
        <v>1313</v>
      </c>
      <c r="I143" t="s">
        <v>8</v>
      </c>
      <c r="J143" t="s">
        <v>9</v>
      </c>
      <c r="K143" t="s">
        <v>87</v>
      </c>
      <c r="L143" t="s">
        <v>442</v>
      </c>
      <c r="M143" t="s">
        <v>443</v>
      </c>
      <c r="N143" t="s">
        <v>1314</v>
      </c>
      <c r="O143" s="3">
        <f>HYPERLINK(".\.\export_data\inspection_reports\80575_warrington", ".\export_data\inspection_reports\80575_warrington")</f>
        <v>0</v>
      </c>
      <c r="P143" t="s">
        <v>79</v>
      </c>
      <c r="Q143" t="s">
        <v>8</v>
      </c>
      <c r="R143" t="s">
        <v>79</v>
      </c>
      <c r="S143" t="s">
        <v>8</v>
      </c>
      <c r="T143" t="s">
        <v>28</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434</v>
      </c>
    </row>
    <row r="146" spans="1:20">
      <c r="A146" t="s">
        <v>1335</v>
      </c>
      <c r="B146" t="s">
        <v>1336</v>
      </c>
      <c r="C146" t="s">
        <v>304</v>
      </c>
      <c r="D146" t="s">
        <v>1337</v>
      </c>
      <c r="E146" t="s">
        <v>1338</v>
      </c>
      <c r="F146" t="s">
        <v>1339</v>
      </c>
      <c r="G146" t="s">
        <v>1340</v>
      </c>
      <c r="H146" s="2" t="s">
        <v>1341</v>
      </c>
      <c r="I146" t="s">
        <v>74</v>
      </c>
      <c r="J146" t="s">
        <v>48</v>
      </c>
      <c r="K146" t="s">
        <v>150</v>
      </c>
      <c r="L146" t="s">
        <v>527</v>
      </c>
      <c r="M146" t="s">
        <v>528</v>
      </c>
      <c r="N146" t="s">
        <v>573</v>
      </c>
      <c r="O146" s="3">
        <f>HYPERLINK(".\.\export_data\inspection_reports\2637548_west northamptonshire", ".\export_data\inspection_reports\2637548_west northamptonshire")</f>
        <v>0</v>
      </c>
      <c r="P146" t="s">
        <v>79</v>
      </c>
      <c r="Q146" t="s">
        <v>8</v>
      </c>
      <c r="R146" t="s">
        <v>8</v>
      </c>
      <c r="S146" t="s">
        <v>8</v>
      </c>
      <c r="T146" t="s">
        <v>66</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79</v>
      </c>
      <c r="S149" t="s">
        <v>79</v>
      </c>
      <c r="T149" t="s">
        <v>66</v>
      </c>
    </row>
    <row r="150" spans="1:20">
      <c r="A150" t="s">
        <v>1367</v>
      </c>
      <c r="B150" t="s">
        <v>1368</v>
      </c>
      <c r="C150" t="s">
        <v>18</v>
      </c>
      <c r="D150" t="s">
        <v>1369</v>
      </c>
      <c r="E150" t="s">
        <v>1370</v>
      </c>
      <c r="F150" t="s">
        <v>1371</v>
      </c>
      <c r="G150" t="s">
        <v>1372</v>
      </c>
      <c r="H150" s="2" t="s">
        <v>1373</v>
      </c>
      <c r="I150" t="s">
        <v>79</v>
      </c>
      <c r="J150" t="s">
        <v>9</v>
      </c>
      <c r="K150" t="s">
        <v>403</v>
      </c>
      <c r="L150" t="s">
        <v>1374</v>
      </c>
      <c r="M150" t="s">
        <v>1375</v>
      </c>
      <c r="N150" t="s">
        <v>1376</v>
      </c>
      <c r="O150" s="3">
        <f>HYPERLINK(".\.\export_data\inspection_reports\80580_wiltshire", ".\export_data\inspection_reports\80580_wiltshire")</f>
        <v>0</v>
      </c>
      <c r="P150" t="s">
        <v>79</v>
      </c>
      <c r="Q150" t="s">
        <v>8</v>
      </c>
      <c r="R150" t="s">
        <v>79</v>
      </c>
      <c r="S150" t="s">
        <v>79</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15</v>
      </c>
    </row>
    <row r="152" spans="1:20">
      <c r="A152" t="s">
        <v>1386</v>
      </c>
      <c r="B152" t="s">
        <v>1387</v>
      </c>
      <c r="C152" t="s">
        <v>100</v>
      </c>
      <c r="D152" t="s">
        <v>1388</v>
      </c>
      <c r="E152" t="s">
        <v>1389</v>
      </c>
      <c r="F152" t="s">
        <v>1390</v>
      </c>
      <c r="G152" t="s">
        <v>1391</v>
      </c>
      <c r="H152" s="2" t="s">
        <v>1392</v>
      </c>
      <c r="I152" t="s">
        <v>14</v>
      </c>
      <c r="J152" t="s">
        <v>48</v>
      </c>
      <c r="K152" t="s">
        <v>391</v>
      </c>
      <c r="L152" t="s">
        <v>1218</v>
      </c>
      <c r="M152" t="s">
        <v>1219</v>
      </c>
      <c r="N152" t="s">
        <v>1220</v>
      </c>
      <c r="O152" s="3">
        <f>HYPERLINK(".\.\export_data\inspection_reports\80582_wokingham", ".\export_data\inspection_reports\80582_wokingham")</f>
        <v>0</v>
      </c>
      <c r="P152" t="s">
        <v>14</v>
      </c>
      <c r="Q152" t="s">
        <v>14</v>
      </c>
      <c r="R152" t="s">
        <v>8</v>
      </c>
      <c r="S152" t="s">
        <v>14</v>
      </c>
      <c r="T152" t="s">
        <v>395</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79</v>
      </c>
      <c r="S153" t="s">
        <v>79</v>
      </c>
      <c r="T153" t="s">
        <v>66</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2026-08-21T05:27:24Z</dcterms:created>
  <dcterms:modified xsi:type="dcterms:W3CDTF">2026-08-21T05:27:24Z</dcterms:modified>
</cp:coreProperties>
</file>